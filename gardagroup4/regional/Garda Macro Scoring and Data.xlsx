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Macro Data" sheetId="1" r:id="rId4"/>
    <sheet state="visible" name="US Macro Scoring " sheetId="2" r:id="rId5"/>
    <sheet state="visible" name="Japan Macro Data" sheetId="3" r:id="rId6"/>
    <sheet state="visible" name="Japan Macro Scoring" sheetId="4" r:id="rId7"/>
    <sheet state="visible" name="ECB" sheetId="5" r:id="rId8"/>
    <sheet state="visible" name="ECB Macro Scoring " sheetId="6" r:id="rId9"/>
    <sheet state="visible" name="Documentation" sheetId="7" r:id="rId10"/>
  </sheets>
  <definedNames/>
  <calcPr/>
  <extLst>
    <ext uri="GoogleSheetsCustomDataVersion2">
      <go:sheetsCustomData xmlns:go="http://customooxmlschemas.google.com/" r:id="rId11" roundtripDataChecksum="6CtI05Q2PHF942QDuhhyBwAc1CisBFbXvO4lemuxwRg="/>
    </ext>
  </extLst>
</workbook>
</file>

<file path=xl/sharedStrings.xml><?xml version="1.0" encoding="utf-8"?>
<sst xmlns="http://schemas.openxmlformats.org/spreadsheetml/2006/main" count="312" uniqueCount="180">
  <si>
    <t>Date (Quarterly)</t>
  </si>
  <si>
    <t>GDP YoY % Change</t>
  </si>
  <si>
    <t>PMI</t>
  </si>
  <si>
    <t>CPI</t>
  </si>
  <si>
    <t>Core CPI</t>
  </si>
  <si>
    <t>Unemployment Levels %</t>
  </si>
  <si>
    <t>Consensus Forecast</t>
  </si>
  <si>
    <t>GDP</t>
  </si>
  <si>
    <t>CPI F</t>
  </si>
  <si>
    <t>Unemployment</t>
  </si>
  <si>
    <t>Surprise</t>
  </si>
  <si>
    <t xml:space="preserve">Unemployment </t>
  </si>
  <si>
    <t xml:space="preserve">Growth Scoring </t>
  </si>
  <si>
    <t xml:space="preserve">Inflation Scoring </t>
  </si>
  <si>
    <t xml:space="preserve">Labor Scoring </t>
  </si>
  <si>
    <t>Level (GDP) Score</t>
  </si>
  <si>
    <t>Level (CPI) Score</t>
  </si>
  <si>
    <t>Level  (Unemployment)</t>
  </si>
  <si>
    <t>GDP (Actual)</t>
  </si>
  <si>
    <t>CPI (Actual)</t>
  </si>
  <si>
    <t>Unemployment (Actual)</t>
  </si>
  <si>
    <t xml:space="preserve">Historical Average </t>
  </si>
  <si>
    <t>Standard Deviation</t>
  </si>
  <si>
    <t>Level (PMI) Score</t>
  </si>
  <si>
    <t>Level (Core CPI) Score</t>
  </si>
  <si>
    <t>PMI (Actual)</t>
  </si>
  <si>
    <t>Core CPI (Actual)</t>
  </si>
  <si>
    <t>Surprise  (GDP) Score</t>
  </si>
  <si>
    <t>Surprise  (CPI) Score</t>
  </si>
  <si>
    <t>Surprise (Unemployment)</t>
  </si>
  <si>
    <t>GDP Forecast</t>
  </si>
  <si>
    <t>CPI Forecast</t>
  </si>
  <si>
    <t>Unemployment Forecast</t>
  </si>
  <si>
    <t>GDP Current Surprise</t>
  </si>
  <si>
    <t>CPI Current Surprise</t>
  </si>
  <si>
    <t>Unemployment Current Surprise</t>
  </si>
  <si>
    <t>Average Surprise</t>
  </si>
  <si>
    <t xml:space="preserve">Average Surprise </t>
  </si>
  <si>
    <t xml:space="preserve">Standard Deviation </t>
  </si>
  <si>
    <t>Surprise (PMI) Score</t>
  </si>
  <si>
    <t>Surprise (Core CPI) Score</t>
  </si>
  <si>
    <t xml:space="preserve">Unemployment is unique case because directional variable is -1 but its average is negative </t>
  </si>
  <si>
    <t xml:space="preserve">In this case the actual was less forecast and the double negative makes it positive but the directional variable makes it negative again even though this lower than expected unemployment is positive for the macro environment </t>
  </si>
  <si>
    <t>Core CPI Forecast</t>
  </si>
  <si>
    <t>Core CPI Current Surprise</t>
  </si>
  <si>
    <t xml:space="preserve">Because of this im wondering if for surprises we should do (Actual - Forecast)/Sdev instead of using the actual stats z score formula because of what it is exactly we want to have the model take into account. </t>
  </si>
  <si>
    <t>With the regular z scoring it would measure more so how efficient markets are or how well they are pricing information, meaning that worse than expected CPI can end up being positive if the difference is less than the average</t>
  </si>
  <si>
    <t>Inflation Scoring</t>
  </si>
  <si>
    <t>w(level)</t>
  </si>
  <si>
    <t>w(surprise)</t>
  </si>
  <si>
    <t>W(surprise)</t>
  </si>
  <si>
    <t xml:space="preserve">direction </t>
  </si>
  <si>
    <t>direction</t>
  </si>
  <si>
    <t>GDP Score</t>
  </si>
  <si>
    <t>CPI Score</t>
  </si>
  <si>
    <t>Unemployment Score</t>
  </si>
  <si>
    <t>PMI Score</t>
  </si>
  <si>
    <t>Core CPI Score</t>
  </si>
  <si>
    <t>w(GDP)</t>
  </si>
  <si>
    <t>w(CPI)</t>
  </si>
  <si>
    <t>w(unemployment)</t>
  </si>
  <si>
    <t>w(PMI)</t>
  </si>
  <si>
    <t>w(Core CPI)</t>
  </si>
  <si>
    <t>Growth Score</t>
  </si>
  <si>
    <t xml:space="preserve">Inflation Score </t>
  </si>
  <si>
    <t>w(Growth)</t>
  </si>
  <si>
    <t>w(Inflation)</t>
  </si>
  <si>
    <t>w(Unemployment)</t>
  </si>
  <si>
    <t>US Macro Score</t>
  </si>
  <si>
    <t>Date</t>
  </si>
  <si>
    <t xml:space="preserve">Quarter </t>
  </si>
  <si>
    <t>GDP Growth</t>
  </si>
  <si>
    <t>HICP (CPI)</t>
  </si>
  <si>
    <t>Core HICP</t>
  </si>
  <si>
    <t>Consensus Forecasts</t>
  </si>
  <si>
    <t>HICP</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</si>
  <si>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</si>
  <si>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</si>
  <si>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</si>
  <si>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</si>
  <si>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</si>
  <si>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</si>
  <si>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</si>
  <si>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</si>
  <si>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</si>
  <si>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</si>
  <si>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</si>
  <si>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</si>
  <si>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</si>
  <si>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</si>
  <si>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</si>
  <si>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</si>
  <si>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</si>
  <si>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</si>
  <si>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</si>
  <si>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</si>
  <si>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</si>
  <si>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</si>
  <si>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</si>
  <si>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</si>
  <si>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</si>
  <si>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</si>
  <si>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</si>
  <si>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</si>
  <si>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</si>
  <si>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</si>
  <si>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</si>
  <si>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</si>
  <si>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</si>
  <si>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</si>
  <si>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</si>
  <si>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</si>
  <si>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</si>
  <si>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</si>
  <si>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</si>
  <si>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</si>
  <si>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</si>
  <si>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</si>
  <si>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</si>
  <si>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</si>
  <si>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</si>
  <si>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</si>
  <si>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</si>
  <si>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</si>
  <si>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</si>
  <si>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</si>
  <si>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</si>
  <si>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</si>
  <si>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1.1.</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</si>
  <si>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</si>
  <si>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</si>
  <si>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</si>
  <si>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</si>
  <si>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</si>
  <si>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</si>
  <si>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</si>
  <si>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</si>
  <si>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</si>
  <si>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</si>
  <si>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</si>
  <si>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</si>
  <si>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</si>
  <si>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</si>
  <si>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</si>
  <si>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</si>
  <si>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</si>
  <si>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</si>
  <si>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</si>
  <si>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</si>
  <si>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</si>
  <si>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</si>
  <si>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</si>
  <si>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</si>
  <si>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</si>
  <si>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</si>
  <si>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</si>
  <si>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</si>
  <si>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Consensus Forecasts From Survey of Professional Forecasters</t>
  </si>
  <si>
    <t xml:space="preserve">GDP: </t>
  </si>
  <si>
    <t>PMI:</t>
  </si>
  <si>
    <t xml:space="preserve">CPI </t>
  </si>
  <si>
    <t xml:space="preserve">NGDP_Growth </t>
  </si>
  <si>
    <t>Mean CPI Level</t>
  </si>
  <si>
    <t>Mean Core CPI Level</t>
  </si>
  <si>
    <t>Mean Unemployment Level</t>
  </si>
  <si>
    <t>Forecasts for the quarterly and annual level of nominal GDP. Seasonally adjusted, annual rate, billions $. Prior to 1992, these are forecasts for nominal GNP. Annual forecasts are for the annual average of the quarterly levels.</t>
  </si>
  <si>
    <t>Forecasts for the headline CPI inflation rate. Seasonally adjusted, annual rate, percentage points. Quarterly forecasts are annualized quarter-overquarter percent changes of the quarterly average price index level. Annual forecasts are fourth-quarter over fourth-quarter percent changes. The quarterly price index level is the quarterly average of the underlying monthly price index levels.</t>
  </si>
  <si>
    <t>Forecasts for the core CPI inflation rate. Seasonally adjusted, annual rate, percentage points. Quarterly forecasts are annualized quarter-over-quarter percent changes of the quarterly average price index level. Annual forecasts are fourth-quarter over fourth-quarter percent changes. The quarterly price index level is the quarterly average of the underlying monthly price index levels.</t>
  </si>
  <si>
    <t>Forecasts for the quarterly average and annual-average unemployment rate. Seasonally adjusted, percentage points. Quarterly forecasts are for the quarterly average of the underlying monthly levels. Annual forecasts are for the annual average of the underlying monthly levels.</t>
  </si>
  <si>
    <t xml:space="preserve">Note: Formula to calculate % change YoY w/ quarterly forecasts Ex.  </t>
  </si>
  <si>
    <t xml:space="preserve">Took Data from next quarter's projection </t>
  </si>
  <si>
    <t>Data from 2025Q1:</t>
  </si>
  <si>
    <t>%Change = ((2025Q2 Proj / 400 + 1)*(2025Q3 Proj / 400 +1) *(2025Q4 Proj / 400 + 1) * (2026Q1 Proj / 400 + 1) -1) *100)</t>
  </si>
  <si>
    <t>ECB</t>
  </si>
  <si>
    <t xml:space="preserve">HICP Forecast: </t>
  </si>
  <si>
    <t>Core Inflation</t>
  </si>
  <si>
    <t>Euro area - Real GDP growth - Average of Point forecasts - Target period ends 12 months after survey cycle begins, Euro area, Annual</t>
  </si>
  <si>
    <t>HICP Inflation - Average of Point forecasts - Target period ends 27 months after survey cycle begins, Euro area</t>
  </si>
  <si>
    <t>Euro area - Core inflation - Average of Point forecasts - Target period ends 33 months after survey cycle begins, Euro area, Annual</t>
  </si>
  <si>
    <t>Euro area - Unemployment rate - Average of Point forecasts - Target period ends 21 months after survey cycle begins (SPF.A.U2.UNEM.POINT.P21M.Q.AVG)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</si>
</sst>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0.00000"/>
    <numFmt numFmtId="166" formatCode="0.000000000"/>
    <numFmt numFmtId="167" formatCode="0.0"/>
    <numFmt numFmtId="168" formatCode="0.0_ "/>
    <numFmt numFmtId="169" formatCode="_ * &quot;&lt;&quot;#0.0&quot;&gt;&quot;;_ * &quot;&lt;&quot;\-#0.0&quot;&gt;&quot;;_*&quot;&lt;&quot;0.0&quot;&gt;&quot;"/>
  </numFmts>
  <fonts count="9">
    <font>
      <sz val="11.0"/>
      <color theme="1"/>
      <name val="Aptos Narrow"/>
      <scheme val="minor"/>
    </font>
    <font>
      <b/>
      <sz val="11.0"/>
      <color theme="1"/>
      <name val="Aptos Narrow"/>
    </font>
    <font>
      <sz val="11.0"/>
      <color theme="1"/>
      <name val="Aptos Narrow"/>
    </font>
    <font>
      <sz val="10.0"/>
      <color rgb="FF000000"/>
      <name val="ITC Bookman"/>
    </font>
    <font>
      <sz val="8.0"/>
      <color rgb="FF000000"/>
      <name val="Helvetica Neue"/>
    </font>
    <font>
      <sz val="11.0"/>
      <color theme="10"/>
      <name val="Aptos Narrow"/>
    </font>
    <font>
      <sz val="11.0"/>
      <color rgb="FF000000"/>
      <name val="ＭＳ ゴシック"/>
    </font>
    <font>
      <sz val="11.0"/>
      <color theme="1"/>
      <name val="ＭＳ ゴシック"/>
    </font>
    <font>
      <b/>
      <sz val="11.0"/>
      <color theme="1"/>
      <name val="Arial"/>
    </font>
  </fonts>
  <fills count="3">
    <fill>
      <patternFill patternType="none"/>
    </fill>
    <fill>
      <patternFill patternType="lightGray"/>
    </fill>
    <fill>
      <patternFill patternType="solid">
        <fgColor rgb="FFD4D4D4"/>
        <bgColor rgb="FFD4D4D4"/>
      </patternFill>
    </fill>
  </fills>
  <borders count="12">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hair">
        <color rgb="FF000000"/>
      </top>
    </border>
    <border>
      <bottom style="hair">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164"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3" numFmtId="0" xfId="0" applyFont="1"/>
    <xf borderId="0" fillId="0" fontId="4" numFmtId="0" xfId="0" applyFont="1"/>
    <xf borderId="1" fillId="0" fontId="1" numFmtId="0" xfId="0" applyBorder="1" applyFont="1"/>
    <xf borderId="2" fillId="0" fontId="2" numFmtId="0" xfId="0" applyBorder="1" applyFont="1"/>
    <xf borderId="3" fillId="0" fontId="1" numFmtId="0" xfId="0" applyBorder="1" applyFont="1"/>
    <xf borderId="4" fillId="0" fontId="2" numFmtId="0" xfId="0" applyBorder="1" applyFont="1"/>
    <xf borderId="3" fillId="0" fontId="2" numFmtId="0" xfId="0" applyBorder="1" applyFont="1"/>
    <xf borderId="4" fillId="0" fontId="2" numFmtId="165" xfId="0" applyBorder="1" applyFont="1" applyNumberFormat="1"/>
    <xf borderId="4" fillId="0" fontId="2" numFmtId="167" xfId="0" applyBorder="1" applyFont="1" applyNumberFormat="1"/>
    <xf borderId="4" fillId="0" fontId="2" numFmtId="166" xfId="0" applyBorder="1" applyFont="1" applyNumberFormat="1"/>
    <xf borderId="5" fillId="0" fontId="2" numFmtId="0" xfId="0" applyBorder="1" applyFont="1"/>
    <xf borderId="6" fillId="0" fontId="2" numFmtId="0" xfId="0" applyBorder="1" applyFont="1"/>
    <xf borderId="0" fillId="0" fontId="5" numFmtId="0" xfId="0" applyFont="1"/>
    <xf borderId="7" fillId="0" fontId="6" numFmtId="168" xfId="0" applyAlignment="1" applyBorder="1" applyFont="1" applyNumberFormat="1">
      <alignment horizontal="right"/>
    </xf>
    <xf borderId="0" fillId="0" fontId="6" numFmtId="168" xfId="0" applyAlignment="1" applyFont="1" applyNumberFormat="1">
      <alignment horizontal="right"/>
    </xf>
    <xf borderId="8" fillId="0" fontId="6" numFmtId="168" xfId="0" applyAlignment="1" applyBorder="1" applyFont="1" applyNumberFormat="1">
      <alignment horizontal="right"/>
    </xf>
    <xf borderId="0" fillId="0" fontId="7" numFmtId="169" xfId="0" applyAlignment="1" applyFont="1" applyNumberFormat="1">
      <alignment horizontal="right"/>
    </xf>
    <xf borderId="9" fillId="0" fontId="1" numFmtId="0" xfId="0" applyBorder="1" applyFont="1"/>
    <xf borderId="10" fillId="2" fontId="4" numFmtId="14" xfId="0" applyBorder="1" applyFill="1" applyFont="1" applyNumberFormat="1"/>
    <xf borderId="9" fillId="0" fontId="4" numFmtId="0" xfId="0" applyBorder="1" applyFont="1"/>
    <xf borderId="11" fillId="0" fontId="4" numFmtId="0" xfId="0" applyBorder="1" applyFont="1"/>
    <xf borderId="0" fillId="0" fontId="8" numFmtId="0" xfId="0" applyAlignment="1" applyFont="1">
      <alignment readingOrder="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15.88"/>
    <col customWidth="1" min="3" max="3" width="8.63"/>
    <col customWidth="1" min="4" max="4" width="15.0"/>
    <col customWidth="1" min="5" max="5" width="16.0"/>
    <col customWidth="1" min="6" max="6" width="21.25"/>
    <col customWidth="1" min="7" max="8" width="8.63"/>
    <col customWidth="1" min="9" max="15" width="17.0"/>
    <col customWidth="1" min="16" max="16" width="15.88"/>
    <col customWidth="1" min="17" max="17" width="8.63"/>
    <col customWidth="1" min="18" max="18" width="15.0"/>
    <col customWidth="1" min="19" max="19" width="16.0"/>
    <col customWidth="1" min="20" max="20" width="20.38"/>
    <col customWidth="1" min="21" max="21" width="8.63"/>
    <col customWidth="1" min="22" max="22" width="13.75"/>
    <col customWidth="1" min="23" max="26" width="8.63"/>
  </cols>
  <sheetData>
    <row r="1" ht="14.25" customHeight="1">
      <c r="A1" s="1" t="s">
        <v>0</v>
      </c>
      <c r="B1" s="1" t="s">
        <v>1</v>
      </c>
      <c r="C1" s="1" t="s">
        <v>2</v>
      </c>
      <c r="D1" s="1" t="s">
        <v>3</v>
      </c>
      <c r="E1" s="1" t="s">
        <v>4</v>
      </c>
      <c r="F1" s="1" t="s">
        <v>5</v>
      </c>
      <c r="G1" s="2"/>
      <c r="H1" s="2"/>
      <c r="I1" s="1" t="s">
        <v>6</v>
      </c>
      <c r="J1" s="1"/>
      <c r="K1" s="1" t="s">
        <v>7</v>
      </c>
      <c r="L1" s="1" t="s">
        <v>2</v>
      </c>
      <c r="M1" s="1" t="s">
        <v>8</v>
      </c>
      <c r="N1" s="1" t="s">
        <v>4</v>
      </c>
      <c r="O1" s="1" t="s">
        <v>9</v>
      </c>
      <c r="P1" s="1"/>
      <c r="Q1" s="1" t="s">
        <v>10</v>
      </c>
      <c r="R1" s="1" t="s">
        <v>7</v>
      </c>
      <c r="S1" s="1" t="s">
        <v>2</v>
      </c>
      <c r="T1" s="1" t="s">
        <v>3</v>
      </c>
      <c r="U1" s="1" t="s">
        <v>4</v>
      </c>
      <c r="V1" s="1" t="s">
        <v>11</v>
      </c>
    </row>
    <row r="2" ht="14.25" customHeight="1">
      <c r="A2" s="3">
        <v>38718.0</v>
      </c>
      <c r="B2" s="4">
        <v>3.21311</v>
      </c>
      <c r="C2" s="2"/>
      <c r="D2" s="4">
        <v>3.69087</v>
      </c>
      <c r="E2" s="5">
        <v>2.504367667</v>
      </c>
      <c r="F2" s="6">
        <v>4.7</v>
      </c>
      <c r="G2" s="2"/>
      <c r="H2" s="2"/>
      <c r="I2" s="2"/>
      <c r="J2" s="2"/>
      <c r="K2" s="7">
        <v>5.93434827</v>
      </c>
      <c r="L2" s="2"/>
      <c r="M2" s="7">
        <v>2.23</v>
      </c>
      <c r="N2" s="8">
        <v>1.2</v>
      </c>
      <c r="O2" s="7">
        <v>4.85</v>
      </c>
      <c r="P2" s="2"/>
      <c r="Q2" s="2"/>
      <c r="R2" s="4">
        <f t="shared" ref="R2:V2" si="1">B2-K2</f>
        <v>-2.72123827</v>
      </c>
      <c r="S2" s="4">
        <f t="shared" si="1"/>
        <v>0</v>
      </c>
      <c r="T2" s="4">
        <f t="shared" si="1"/>
        <v>1.46087</v>
      </c>
      <c r="U2" s="4">
        <f t="shared" si="1"/>
        <v>1.304367667</v>
      </c>
      <c r="V2" s="4">
        <f t="shared" si="1"/>
        <v>-0.15</v>
      </c>
    </row>
    <row r="3" ht="14.25" customHeight="1">
      <c r="A3" s="3">
        <v>38808.0</v>
      </c>
      <c r="B3" s="4">
        <v>2.9729</v>
      </c>
      <c r="C3" s="2"/>
      <c r="D3" s="4">
        <v>3.92427</v>
      </c>
      <c r="E3" s="5">
        <v>2.827660333</v>
      </c>
      <c r="F3" s="6">
        <v>4.6</v>
      </c>
      <c r="G3" s="2"/>
      <c r="H3" s="2"/>
      <c r="I3" s="2"/>
      <c r="J3" s="2"/>
      <c r="K3" s="7">
        <v>5.66443235</v>
      </c>
      <c r="L3" s="2"/>
      <c r="M3" s="7">
        <v>3.28</v>
      </c>
      <c r="N3" s="8">
        <v>1.4</v>
      </c>
      <c r="O3" s="7">
        <v>4.7</v>
      </c>
      <c r="P3" s="2"/>
      <c r="Q3" s="2"/>
      <c r="R3" s="4">
        <f t="shared" ref="R3:V3" si="2">B3-K3</f>
        <v>-2.69153235</v>
      </c>
      <c r="S3" s="4">
        <f t="shared" si="2"/>
        <v>0</v>
      </c>
      <c r="T3" s="4">
        <f t="shared" si="2"/>
        <v>0.64427</v>
      </c>
      <c r="U3" s="4">
        <f t="shared" si="2"/>
        <v>1.427660333</v>
      </c>
      <c r="V3" s="4">
        <f t="shared" si="2"/>
        <v>-0.1</v>
      </c>
    </row>
    <row r="4" ht="14.25" customHeight="1">
      <c r="A4" s="3">
        <v>38899.0</v>
      </c>
      <c r="B4" s="4">
        <v>2.32528</v>
      </c>
      <c r="C4" s="2"/>
      <c r="D4" s="4">
        <v>3.34012</v>
      </c>
      <c r="E4" s="5">
        <v>3.172047333</v>
      </c>
      <c r="F4" s="6">
        <v>4.6</v>
      </c>
      <c r="G4" s="2"/>
      <c r="H4" s="2"/>
      <c r="I4" s="2"/>
      <c r="J4" s="2"/>
      <c r="K4" s="7">
        <v>5.57681307</v>
      </c>
      <c r="L4" s="2"/>
      <c r="M4" s="7">
        <v>3.37</v>
      </c>
      <c r="N4" s="8">
        <v>1.5</v>
      </c>
      <c r="O4" s="7">
        <v>4.72</v>
      </c>
      <c r="P4" s="2"/>
      <c r="Q4" s="2"/>
      <c r="R4" s="4">
        <f t="shared" ref="R4:V4" si="3">B4-K4</f>
        <v>-3.25153307</v>
      </c>
      <c r="S4" s="4">
        <f t="shared" si="3"/>
        <v>0</v>
      </c>
      <c r="T4" s="4">
        <f t="shared" si="3"/>
        <v>-0.02988</v>
      </c>
      <c r="U4" s="4">
        <f t="shared" si="3"/>
        <v>1.672047333</v>
      </c>
      <c r="V4" s="4">
        <f t="shared" si="3"/>
        <v>-0.12</v>
      </c>
    </row>
    <row r="5" ht="14.25" customHeight="1">
      <c r="A5" s="3">
        <v>38991.0</v>
      </c>
      <c r="B5" s="4">
        <v>2.63456</v>
      </c>
      <c r="C5" s="2"/>
      <c r="D5" s="4">
        <v>1.9654</v>
      </c>
      <c r="E5" s="5">
        <v>3.18104</v>
      </c>
      <c r="F5" s="6">
        <v>4.4</v>
      </c>
      <c r="G5" s="2"/>
      <c r="H5" s="2"/>
      <c r="I5" s="2"/>
      <c r="J5" s="2"/>
      <c r="K5" s="7">
        <v>5.13708084</v>
      </c>
      <c r="L5" s="2"/>
      <c r="M5" s="7">
        <v>0.52</v>
      </c>
      <c r="N5" s="8">
        <v>1.5</v>
      </c>
      <c r="O5" s="7">
        <v>4.59</v>
      </c>
      <c r="P5" s="2"/>
      <c r="Q5" s="2"/>
      <c r="R5" s="4">
        <f t="shared" ref="R5:V5" si="4">B5-K5</f>
        <v>-2.50252084</v>
      </c>
      <c r="S5" s="4">
        <f t="shared" si="4"/>
        <v>0</v>
      </c>
      <c r="T5" s="4">
        <f t="shared" si="4"/>
        <v>1.4454</v>
      </c>
      <c r="U5" s="4">
        <f t="shared" si="4"/>
        <v>1.68104</v>
      </c>
      <c r="V5" s="4">
        <f t="shared" si="4"/>
        <v>-0.19</v>
      </c>
    </row>
    <row r="6" ht="14.25" customHeight="1">
      <c r="A6" s="3">
        <v>39083.0</v>
      </c>
      <c r="B6" s="4">
        <v>1.57672</v>
      </c>
      <c r="C6" s="2"/>
      <c r="D6" s="4">
        <v>2.43165</v>
      </c>
      <c r="E6" s="5">
        <v>3.129683333</v>
      </c>
      <c r="F6" s="6">
        <v>4.5</v>
      </c>
      <c r="G6" s="2"/>
      <c r="H6" s="2"/>
      <c r="I6" s="2"/>
      <c r="J6" s="7"/>
      <c r="K6" s="7">
        <v>5.15581849</v>
      </c>
      <c r="L6" s="2"/>
      <c r="M6" s="7">
        <v>2.33</v>
      </c>
      <c r="N6" s="7">
        <v>2.23</v>
      </c>
      <c r="O6" s="7">
        <v>4.6</v>
      </c>
      <c r="P6" s="2"/>
      <c r="Q6" s="2"/>
      <c r="R6" s="4">
        <f t="shared" ref="R6:V6" si="5">B6-K6</f>
        <v>-3.57909849</v>
      </c>
      <c r="S6" s="4">
        <f t="shared" si="5"/>
        <v>0</v>
      </c>
      <c r="T6" s="4">
        <f t="shared" si="5"/>
        <v>0.10165</v>
      </c>
      <c r="U6" s="4">
        <f t="shared" si="5"/>
        <v>0.899683333</v>
      </c>
      <c r="V6" s="4">
        <f t="shared" si="5"/>
        <v>-0.1</v>
      </c>
    </row>
    <row r="7" ht="14.25" customHeight="1">
      <c r="A7" s="3">
        <v>39173.0</v>
      </c>
      <c r="B7" s="4">
        <v>1.93437</v>
      </c>
      <c r="C7" s="2"/>
      <c r="D7" s="4">
        <v>2.66529</v>
      </c>
      <c r="E7" s="5">
        <v>2.784459333</v>
      </c>
      <c r="F7" s="6">
        <v>4.5</v>
      </c>
      <c r="G7" s="2"/>
      <c r="H7" s="2"/>
      <c r="I7" s="2"/>
      <c r="J7" s="7"/>
      <c r="K7" s="7">
        <v>5.19964818</v>
      </c>
      <c r="L7" s="2"/>
      <c r="M7" s="7">
        <v>4.07</v>
      </c>
      <c r="N7" s="7">
        <v>2.2</v>
      </c>
      <c r="O7" s="7">
        <v>4.56</v>
      </c>
      <c r="P7" s="2"/>
      <c r="Q7" s="2"/>
      <c r="R7" s="4">
        <f t="shared" ref="R7:V7" si="6">B7-K7</f>
        <v>-3.26527818</v>
      </c>
      <c r="S7" s="4">
        <f t="shared" si="6"/>
        <v>0</v>
      </c>
      <c r="T7" s="4">
        <f t="shared" si="6"/>
        <v>-1.40471</v>
      </c>
      <c r="U7" s="4">
        <f t="shared" si="6"/>
        <v>0.584459333</v>
      </c>
      <c r="V7" s="4">
        <f t="shared" si="6"/>
        <v>-0.06</v>
      </c>
    </row>
    <row r="8" ht="14.25" customHeight="1">
      <c r="A8" s="3">
        <v>39264.0</v>
      </c>
      <c r="B8" s="4">
        <v>2.36804</v>
      </c>
      <c r="C8" s="2"/>
      <c r="D8" s="4">
        <v>2.34897</v>
      </c>
      <c r="E8" s="5">
        <v>2.486496333</v>
      </c>
      <c r="F8" s="6">
        <v>4.7</v>
      </c>
      <c r="G8" s="2"/>
      <c r="H8" s="2"/>
      <c r="I8" s="2"/>
      <c r="J8" s="7"/>
      <c r="K8" s="7">
        <v>4.84648891</v>
      </c>
      <c r="L8" s="2"/>
      <c r="M8" s="7">
        <v>2.33</v>
      </c>
      <c r="N8" s="7">
        <v>2.25</v>
      </c>
      <c r="O8" s="7">
        <v>4.6</v>
      </c>
      <c r="P8" s="2"/>
      <c r="Q8" s="2"/>
      <c r="R8" s="4">
        <f t="shared" ref="R8:V8" si="7">B8-K8</f>
        <v>-2.47844891</v>
      </c>
      <c r="S8" s="4">
        <f t="shared" si="7"/>
        <v>0</v>
      </c>
      <c r="T8" s="4">
        <f t="shared" si="7"/>
        <v>0.01897</v>
      </c>
      <c r="U8" s="4">
        <f t="shared" si="7"/>
        <v>0.236496333</v>
      </c>
      <c r="V8" s="4">
        <f t="shared" si="7"/>
        <v>0.1</v>
      </c>
    </row>
    <row r="9" ht="14.25" customHeight="1">
      <c r="A9" s="3">
        <v>39356.0</v>
      </c>
      <c r="B9" s="4">
        <v>2.13336</v>
      </c>
      <c r="C9" s="2"/>
      <c r="D9" s="4">
        <v>4.03114</v>
      </c>
      <c r="E9" s="5">
        <v>2.618832667</v>
      </c>
      <c r="F9" s="6">
        <v>4.8</v>
      </c>
      <c r="G9" s="2"/>
      <c r="H9" s="2"/>
      <c r="I9" s="2"/>
      <c r="J9" s="7"/>
      <c r="K9" s="7">
        <v>4.49580392</v>
      </c>
      <c r="L9" s="2"/>
      <c r="M9" s="7">
        <v>2.89</v>
      </c>
      <c r="N9" s="7">
        <v>2.16</v>
      </c>
      <c r="O9" s="7">
        <v>4.74</v>
      </c>
      <c r="P9" s="2"/>
      <c r="Q9" s="2"/>
      <c r="R9" s="4">
        <f t="shared" ref="R9:V9" si="8">B9-K9</f>
        <v>-2.36244392</v>
      </c>
      <c r="S9" s="4">
        <f t="shared" si="8"/>
        <v>0</v>
      </c>
      <c r="T9" s="4">
        <f t="shared" si="8"/>
        <v>1.14114</v>
      </c>
      <c r="U9" s="4">
        <f t="shared" si="8"/>
        <v>0.458832667</v>
      </c>
      <c r="V9" s="4">
        <f t="shared" si="8"/>
        <v>0.06</v>
      </c>
    </row>
    <row r="10" ht="14.25" customHeight="1">
      <c r="A10" s="3">
        <v>39448.0</v>
      </c>
      <c r="B10" s="4">
        <v>1.39247</v>
      </c>
      <c r="C10" s="2"/>
      <c r="D10" s="4">
        <v>4.13704</v>
      </c>
      <c r="E10" s="5">
        <v>2.684794</v>
      </c>
      <c r="F10" s="6">
        <v>5.0</v>
      </c>
      <c r="G10" s="2"/>
      <c r="H10" s="2"/>
      <c r="I10" s="2"/>
      <c r="J10" s="7"/>
      <c r="K10" s="7">
        <v>3.97885021</v>
      </c>
      <c r="L10" s="2"/>
      <c r="M10" s="7">
        <v>3.2</v>
      </c>
      <c r="N10" s="7">
        <v>2.33</v>
      </c>
      <c r="O10" s="7">
        <v>5.0</v>
      </c>
      <c r="P10" s="2"/>
      <c r="Q10" s="2"/>
      <c r="R10" s="4">
        <f t="shared" ref="R10:V10" si="9">B10-K10</f>
        <v>-2.58638021</v>
      </c>
      <c r="S10" s="4">
        <f t="shared" si="9"/>
        <v>0</v>
      </c>
      <c r="T10" s="4">
        <f t="shared" si="9"/>
        <v>0.93704</v>
      </c>
      <c r="U10" s="4">
        <f t="shared" si="9"/>
        <v>0.354794</v>
      </c>
      <c r="V10" s="4">
        <f t="shared" si="9"/>
        <v>0</v>
      </c>
    </row>
    <row r="11" ht="14.25" customHeight="1">
      <c r="A11" s="3">
        <v>39539.0</v>
      </c>
      <c r="B11" s="4">
        <v>1.37601</v>
      </c>
      <c r="C11" s="2"/>
      <c r="D11" s="4">
        <v>4.31042</v>
      </c>
      <c r="E11" s="5">
        <v>2.817493</v>
      </c>
      <c r="F11" s="6">
        <v>5.3</v>
      </c>
      <c r="G11" s="2"/>
      <c r="H11" s="2"/>
      <c r="I11" s="2"/>
      <c r="J11" s="7"/>
      <c r="K11" s="7">
        <v>4.08124304</v>
      </c>
      <c r="L11" s="2"/>
      <c r="M11" s="7">
        <v>3.51</v>
      </c>
      <c r="N11" s="7">
        <v>2.25</v>
      </c>
      <c r="O11" s="7">
        <v>5.15</v>
      </c>
      <c r="P11" s="2"/>
      <c r="Q11" s="2"/>
      <c r="R11" s="4">
        <f t="shared" ref="R11:V11" si="10">B11-K11</f>
        <v>-2.70523304</v>
      </c>
      <c r="S11" s="4">
        <f t="shared" si="10"/>
        <v>0</v>
      </c>
      <c r="T11" s="4">
        <f t="shared" si="10"/>
        <v>0.80042</v>
      </c>
      <c r="U11" s="4">
        <f t="shared" si="10"/>
        <v>0.567493</v>
      </c>
      <c r="V11" s="4">
        <f t="shared" si="10"/>
        <v>0.15</v>
      </c>
    </row>
    <row r="12" ht="14.25" customHeight="1">
      <c r="A12" s="3">
        <v>39630.0</v>
      </c>
      <c r="B12" s="4">
        <v>0.26597</v>
      </c>
      <c r="C12" s="2"/>
      <c r="D12" s="4">
        <v>5.2525</v>
      </c>
      <c r="E12" s="5">
        <v>3.054299333</v>
      </c>
      <c r="F12" s="6">
        <v>6.0</v>
      </c>
      <c r="G12" s="2"/>
      <c r="H12" s="2"/>
      <c r="I12" s="2"/>
      <c r="J12" s="7"/>
      <c r="K12" s="7">
        <v>3.98853694</v>
      </c>
      <c r="L12" s="2"/>
      <c r="M12" s="7">
        <v>5.12</v>
      </c>
      <c r="N12" s="7">
        <v>2.52</v>
      </c>
      <c r="O12" s="7">
        <v>5.65</v>
      </c>
      <c r="P12" s="2"/>
      <c r="Q12" s="2"/>
      <c r="R12" s="4">
        <f t="shared" ref="R12:V12" si="11">B12-K12</f>
        <v>-3.72256694</v>
      </c>
      <c r="S12" s="4">
        <f t="shared" si="11"/>
        <v>0</v>
      </c>
      <c r="T12" s="4">
        <f t="shared" si="11"/>
        <v>0.1325</v>
      </c>
      <c r="U12" s="4">
        <f t="shared" si="11"/>
        <v>0.534299333</v>
      </c>
      <c r="V12" s="4">
        <f t="shared" si="11"/>
        <v>0.35</v>
      </c>
    </row>
    <row r="13" ht="14.25" customHeight="1">
      <c r="A13" s="3">
        <v>39722.0</v>
      </c>
      <c r="B13" s="4">
        <v>-2.54115</v>
      </c>
      <c r="C13" s="2"/>
      <c r="D13" s="4">
        <v>1.5958</v>
      </c>
      <c r="E13" s="5">
        <v>2.771273667</v>
      </c>
      <c r="F13" s="6">
        <v>6.9</v>
      </c>
      <c r="G13" s="2"/>
      <c r="H13" s="2"/>
      <c r="I13" s="2"/>
      <c r="J13" s="7"/>
      <c r="K13" s="7">
        <v>1.54638792</v>
      </c>
      <c r="L13" s="2"/>
      <c r="M13" s="7">
        <v>-2.32</v>
      </c>
      <c r="N13" s="7">
        <v>2.05</v>
      </c>
      <c r="O13" s="7">
        <v>6.61</v>
      </c>
      <c r="P13" s="2"/>
      <c r="Q13" s="2"/>
      <c r="R13" s="4">
        <f t="shared" ref="R13:V13" si="12">B13-K13</f>
        <v>-4.08753792</v>
      </c>
      <c r="S13" s="4">
        <f t="shared" si="12"/>
        <v>0</v>
      </c>
      <c r="T13" s="4">
        <f t="shared" si="12"/>
        <v>3.9158</v>
      </c>
      <c r="U13" s="4">
        <f t="shared" si="12"/>
        <v>0.721273667</v>
      </c>
      <c r="V13" s="4">
        <f t="shared" si="12"/>
        <v>0.29</v>
      </c>
    </row>
    <row r="14" ht="14.25" customHeight="1">
      <c r="A14" s="3">
        <v>39814.0</v>
      </c>
      <c r="B14" s="4">
        <v>-3.23423</v>
      </c>
      <c r="C14" s="2"/>
      <c r="D14" s="4">
        <v>-0.18424</v>
      </c>
      <c r="E14" s="5">
        <v>2.505415333</v>
      </c>
      <c r="F14" s="6">
        <v>8.3</v>
      </c>
      <c r="G14" s="2"/>
      <c r="H14" s="2"/>
      <c r="I14" s="2"/>
      <c r="J14" s="7"/>
      <c r="K14" s="7">
        <v>0.12647286</v>
      </c>
      <c r="L14" s="2"/>
      <c r="M14" s="7">
        <v>-2.45</v>
      </c>
      <c r="N14" s="7">
        <v>0.7</v>
      </c>
      <c r="O14" s="7">
        <v>7.76</v>
      </c>
      <c r="P14" s="2"/>
      <c r="Q14" s="2"/>
      <c r="R14" s="4">
        <f t="shared" ref="R14:V14" si="13">B14-K14</f>
        <v>-3.36070286</v>
      </c>
      <c r="S14" s="4">
        <f t="shared" si="13"/>
        <v>0</v>
      </c>
      <c r="T14" s="4">
        <f t="shared" si="13"/>
        <v>2.26576</v>
      </c>
      <c r="U14" s="4">
        <f t="shared" si="13"/>
        <v>1.805415333</v>
      </c>
      <c r="V14" s="4">
        <f t="shared" si="13"/>
        <v>0.54</v>
      </c>
    </row>
    <row r="15" ht="14.25" customHeight="1">
      <c r="A15" s="3">
        <v>39904.0</v>
      </c>
      <c r="B15" s="4">
        <v>-3.97884</v>
      </c>
      <c r="C15" s="2"/>
      <c r="D15" s="4">
        <v>-0.94214</v>
      </c>
      <c r="E15" s="5">
        <v>2.237264333</v>
      </c>
      <c r="F15" s="6">
        <v>9.3</v>
      </c>
      <c r="G15" s="2"/>
      <c r="H15" s="2"/>
      <c r="I15" s="2"/>
      <c r="J15" s="7"/>
      <c r="K15" s="7">
        <v>2.11206975</v>
      </c>
      <c r="L15" s="2"/>
      <c r="M15" s="7">
        <v>0.91</v>
      </c>
      <c r="N15" s="7">
        <v>1.29</v>
      </c>
      <c r="O15" s="7">
        <v>9.04</v>
      </c>
      <c r="P15" s="2"/>
      <c r="Q15" s="2"/>
      <c r="R15" s="4">
        <f t="shared" ref="R15:V15" si="14">B15-K15</f>
        <v>-6.09090975</v>
      </c>
      <c r="S15" s="4">
        <f t="shared" si="14"/>
        <v>0</v>
      </c>
      <c r="T15" s="4">
        <f t="shared" si="14"/>
        <v>-1.85214</v>
      </c>
      <c r="U15" s="4">
        <f t="shared" si="14"/>
        <v>0.947264333</v>
      </c>
      <c r="V15" s="4">
        <f t="shared" si="14"/>
        <v>0.26</v>
      </c>
    </row>
    <row r="16" ht="14.25" customHeight="1">
      <c r="A16" s="3">
        <v>39995.0</v>
      </c>
      <c r="B16" s="4">
        <v>-3.13282</v>
      </c>
      <c r="C16" s="2"/>
      <c r="D16" s="4">
        <v>-1.60696</v>
      </c>
      <c r="E16" s="5">
        <v>1.756701667</v>
      </c>
      <c r="F16" s="6">
        <v>9.6</v>
      </c>
      <c r="G16" s="2"/>
      <c r="H16" s="2"/>
      <c r="I16" s="2"/>
      <c r="J16" s="7"/>
      <c r="K16" s="7">
        <v>4.03317777</v>
      </c>
      <c r="L16" s="2"/>
      <c r="M16" s="7">
        <v>2.3</v>
      </c>
      <c r="N16" s="7">
        <v>1.66</v>
      </c>
      <c r="O16" s="7">
        <v>9.63</v>
      </c>
      <c r="P16" s="2"/>
      <c r="Q16" s="2"/>
      <c r="R16" s="4">
        <f t="shared" ref="R16:V16" si="15">B16-K16</f>
        <v>-7.16599777</v>
      </c>
      <c r="S16" s="4">
        <f t="shared" si="15"/>
        <v>0</v>
      </c>
      <c r="T16" s="4">
        <f t="shared" si="15"/>
        <v>-3.90696</v>
      </c>
      <c r="U16" s="4">
        <f t="shared" si="15"/>
        <v>0.096701667</v>
      </c>
      <c r="V16" s="4">
        <f t="shared" si="15"/>
        <v>-0.03</v>
      </c>
    </row>
    <row r="17" ht="14.25" customHeight="1">
      <c r="A17" s="3">
        <v>40087.0</v>
      </c>
      <c r="B17" s="4">
        <v>0.10557</v>
      </c>
      <c r="C17" s="2"/>
      <c r="D17" s="4">
        <v>1.48766</v>
      </c>
      <c r="E17" s="5">
        <v>1.396515333</v>
      </c>
      <c r="F17" s="6">
        <v>9.9</v>
      </c>
      <c r="G17" s="2"/>
      <c r="H17" s="2"/>
      <c r="I17" s="2"/>
      <c r="J17" s="7"/>
      <c r="K17" s="7">
        <v>4.18322144</v>
      </c>
      <c r="L17" s="2"/>
      <c r="M17" s="7">
        <v>2.22</v>
      </c>
      <c r="N17" s="7">
        <v>1.33</v>
      </c>
      <c r="O17" s="7">
        <v>10.1</v>
      </c>
      <c r="P17" s="2"/>
      <c r="Q17" s="2"/>
      <c r="R17" s="4">
        <f t="shared" ref="R17:V17" si="16">B17-K17</f>
        <v>-4.07765144</v>
      </c>
      <c r="S17" s="4">
        <f t="shared" si="16"/>
        <v>0</v>
      </c>
      <c r="T17" s="4">
        <f t="shared" si="16"/>
        <v>-0.73234</v>
      </c>
      <c r="U17" s="4">
        <f t="shared" si="16"/>
        <v>0.066515333</v>
      </c>
      <c r="V17" s="4">
        <f t="shared" si="16"/>
        <v>-0.2</v>
      </c>
    </row>
    <row r="18" ht="14.25" customHeight="1">
      <c r="A18" s="3">
        <v>40179.0</v>
      </c>
      <c r="B18" s="4">
        <v>1.74527</v>
      </c>
      <c r="C18" s="2"/>
      <c r="D18" s="4">
        <v>2.35257</v>
      </c>
      <c r="E18" s="5">
        <v>1.048316833</v>
      </c>
      <c r="F18" s="6">
        <v>9.8</v>
      </c>
      <c r="G18" s="2"/>
      <c r="H18" s="2"/>
      <c r="I18" s="2"/>
      <c r="J18" s="7"/>
      <c r="K18" s="7">
        <v>4.39834194</v>
      </c>
      <c r="L18" s="2"/>
      <c r="M18" s="7">
        <v>1.91</v>
      </c>
      <c r="N18" s="7">
        <v>1.24</v>
      </c>
      <c r="O18" s="7">
        <v>9.93</v>
      </c>
      <c r="P18" s="2"/>
      <c r="Q18" s="2"/>
      <c r="R18" s="4">
        <f t="shared" ref="R18:V18" si="17">B18-K18</f>
        <v>-2.65307194</v>
      </c>
      <c r="S18" s="4">
        <f t="shared" si="17"/>
        <v>0</v>
      </c>
      <c r="T18" s="4">
        <f t="shared" si="17"/>
        <v>0.44257</v>
      </c>
      <c r="U18" s="4">
        <f t="shared" si="17"/>
        <v>-0.191683167</v>
      </c>
      <c r="V18" s="4">
        <f t="shared" si="17"/>
        <v>-0.13</v>
      </c>
    </row>
    <row r="19" ht="14.25" customHeight="1">
      <c r="A19" s="3">
        <v>40269.0</v>
      </c>
      <c r="B19" s="4">
        <v>2.9136</v>
      </c>
      <c r="C19" s="2"/>
      <c r="D19" s="4">
        <v>1.77527</v>
      </c>
      <c r="E19" s="5">
        <v>0.813575833</v>
      </c>
      <c r="F19" s="6">
        <v>9.6</v>
      </c>
      <c r="G19" s="2"/>
      <c r="H19" s="2"/>
      <c r="I19" s="2"/>
      <c r="J19" s="7"/>
      <c r="K19" s="7">
        <v>4.63497372</v>
      </c>
      <c r="L19" s="2"/>
      <c r="M19" s="7">
        <v>1.21</v>
      </c>
      <c r="N19" s="7">
        <v>1.08</v>
      </c>
      <c r="O19" s="7">
        <v>9.75</v>
      </c>
      <c r="P19" s="2"/>
      <c r="Q19" s="2"/>
      <c r="R19" s="4">
        <f t="shared" ref="R19:V19" si="18">B19-K19</f>
        <v>-1.72137372</v>
      </c>
      <c r="S19" s="4">
        <f t="shared" si="18"/>
        <v>0</v>
      </c>
      <c r="T19" s="4">
        <f t="shared" si="18"/>
        <v>0.56527</v>
      </c>
      <c r="U19" s="4">
        <f t="shared" si="18"/>
        <v>-0.266424167</v>
      </c>
      <c r="V19" s="4">
        <f t="shared" si="18"/>
        <v>-0.15</v>
      </c>
    </row>
    <row r="20" ht="14.25" customHeight="1">
      <c r="A20" s="3">
        <v>40360.0</v>
      </c>
      <c r="B20" s="4">
        <v>3.34421</v>
      </c>
      <c r="C20" s="2"/>
      <c r="D20" s="4">
        <v>1.20288</v>
      </c>
      <c r="E20" s="5">
        <v>0.699684933</v>
      </c>
      <c r="F20" s="6">
        <v>9.5</v>
      </c>
      <c r="G20" s="2"/>
      <c r="H20" s="2"/>
      <c r="I20" s="2"/>
      <c r="J20" s="7"/>
      <c r="K20" s="7">
        <v>4.028182</v>
      </c>
      <c r="L20" s="2"/>
      <c r="M20" s="7">
        <v>1.24</v>
      </c>
      <c r="N20" s="7">
        <v>1.29</v>
      </c>
      <c r="O20" s="7">
        <v>9.63</v>
      </c>
      <c r="P20" s="2"/>
      <c r="Q20" s="2"/>
      <c r="R20" s="4">
        <f t="shared" ref="R20:V20" si="19">B20-K20</f>
        <v>-0.683972</v>
      </c>
      <c r="S20" s="4">
        <f t="shared" si="19"/>
        <v>0</v>
      </c>
      <c r="T20" s="4">
        <f t="shared" si="19"/>
        <v>-0.03712</v>
      </c>
      <c r="U20" s="4">
        <f t="shared" si="19"/>
        <v>-0.590315067</v>
      </c>
      <c r="V20" s="4">
        <f t="shared" si="19"/>
        <v>-0.13</v>
      </c>
    </row>
    <row r="21" ht="14.25" customHeight="1">
      <c r="A21" s="3">
        <v>40452.0</v>
      </c>
      <c r="B21" s="4">
        <v>2.77596</v>
      </c>
      <c r="C21" s="2"/>
      <c r="D21" s="4">
        <v>1.22978</v>
      </c>
      <c r="E21" s="5">
        <v>0.775474467</v>
      </c>
      <c r="F21" s="6">
        <v>9.5</v>
      </c>
      <c r="G21" s="2"/>
      <c r="H21" s="2"/>
      <c r="I21" s="2"/>
      <c r="J21" s="7"/>
      <c r="K21" s="7">
        <v>4.074264</v>
      </c>
      <c r="L21" s="2"/>
      <c r="M21" s="7">
        <v>1.96</v>
      </c>
      <c r="N21" s="7">
        <v>1.09</v>
      </c>
      <c r="O21" s="7">
        <v>9.62</v>
      </c>
      <c r="P21" s="2"/>
      <c r="Q21" s="2"/>
      <c r="R21" s="4">
        <f t="shared" ref="R21:V21" si="20">B21-K21</f>
        <v>-1.298304</v>
      </c>
      <c r="S21" s="4">
        <f t="shared" si="20"/>
        <v>0</v>
      </c>
      <c r="T21" s="4">
        <f t="shared" si="20"/>
        <v>-0.73022</v>
      </c>
      <c r="U21" s="4">
        <f t="shared" si="20"/>
        <v>-0.314525533</v>
      </c>
      <c r="V21" s="4">
        <f t="shared" si="20"/>
        <v>-0.12</v>
      </c>
    </row>
    <row r="22" ht="14.25" customHeight="1">
      <c r="A22" s="3">
        <v>40544.0</v>
      </c>
      <c r="B22" s="4">
        <v>2.0378</v>
      </c>
      <c r="C22" s="2"/>
      <c r="D22" s="4">
        <v>2.14822</v>
      </c>
      <c r="E22" s="5">
        <v>1.083932067</v>
      </c>
      <c r="F22" s="6">
        <v>9.0</v>
      </c>
      <c r="G22" s="2"/>
      <c r="H22" s="2"/>
      <c r="I22" s="2"/>
      <c r="J22" s="7"/>
      <c r="K22" s="7">
        <v>5.04485476</v>
      </c>
      <c r="L22" s="2"/>
      <c r="M22" s="7">
        <v>2.42</v>
      </c>
      <c r="N22" s="7">
        <v>1.12</v>
      </c>
      <c r="O22" s="7">
        <v>9.29</v>
      </c>
      <c r="P22" s="2"/>
      <c r="Q22" s="2"/>
      <c r="R22" s="4">
        <f t="shared" ref="R22:V22" si="21">B22-K22</f>
        <v>-3.00705476</v>
      </c>
      <c r="S22" s="4">
        <f t="shared" si="21"/>
        <v>0</v>
      </c>
      <c r="T22" s="4">
        <f t="shared" si="21"/>
        <v>-0.27178</v>
      </c>
      <c r="U22" s="4">
        <f t="shared" si="21"/>
        <v>-0.036067933</v>
      </c>
      <c r="V22" s="4">
        <f t="shared" si="21"/>
        <v>-0.29</v>
      </c>
    </row>
    <row r="23" ht="14.25" customHeight="1">
      <c r="A23" s="3">
        <v>40634.0</v>
      </c>
      <c r="B23" s="4">
        <v>1.74371</v>
      </c>
      <c r="C23" s="2"/>
      <c r="D23" s="4">
        <v>3.34611</v>
      </c>
      <c r="E23" s="5">
        <v>1.253441333</v>
      </c>
      <c r="F23" s="6">
        <v>9.1</v>
      </c>
      <c r="G23" s="2"/>
      <c r="H23" s="2"/>
      <c r="I23" s="2"/>
      <c r="J23" s="7"/>
      <c r="K23" s="7">
        <v>5.2286708</v>
      </c>
      <c r="L23" s="2"/>
      <c r="M23" s="7">
        <v>3.42</v>
      </c>
      <c r="N23" s="7">
        <v>1.64</v>
      </c>
      <c r="O23" s="7">
        <v>8.83</v>
      </c>
      <c r="P23" s="2"/>
      <c r="Q23" s="2"/>
      <c r="R23" s="4">
        <f t="shared" ref="R23:V23" si="22">B23-K23</f>
        <v>-3.4849608</v>
      </c>
      <c r="S23" s="4">
        <f t="shared" si="22"/>
        <v>0</v>
      </c>
      <c r="T23" s="4">
        <f t="shared" si="22"/>
        <v>-0.07389</v>
      </c>
      <c r="U23" s="4">
        <f t="shared" si="22"/>
        <v>-0.386558667</v>
      </c>
      <c r="V23" s="4">
        <f t="shared" si="22"/>
        <v>0.27</v>
      </c>
    </row>
    <row r="24" ht="14.25" customHeight="1">
      <c r="A24" s="3">
        <v>40725.0</v>
      </c>
      <c r="B24" s="4">
        <v>0.94265</v>
      </c>
      <c r="C24" s="2"/>
      <c r="D24" s="4">
        <v>3.71595</v>
      </c>
      <c r="E24" s="5">
        <v>1.597132333</v>
      </c>
      <c r="F24" s="6">
        <v>9.0</v>
      </c>
      <c r="G24" s="2"/>
      <c r="H24" s="2"/>
      <c r="I24" s="2"/>
      <c r="J24" s="7"/>
      <c r="K24" s="7">
        <v>4.2710925</v>
      </c>
      <c r="L24" s="2"/>
      <c r="M24" s="7">
        <v>1.7</v>
      </c>
      <c r="N24" s="7">
        <v>2.11</v>
      </c>
      <c r="O24" s="7">
        <v>9.07</v>
      </c>
      <c r="P24" s="2"/>
      <c r="Q24" s="2"/>
      <c r="R24" s="4">
        <f t="shared" ref="R24:V24" si="23">B24-K24</f>
        <v>-3.3284425</v>
      </c>
      <c r="S24" s="4">
        <f t="shared" si="23"/>
        <v>0</v>
      </c>
      <c r="T24" s="4">
        <f t="shared" si="23"/>
        <v>2.01595</v>
      </c>
      <c r="U24" s="4">
        <f t="shared" si="23"/>
        <v>-0.512867667</v>
      </c>
      <c r="V24" s="4">
        <f t="shared" si="23"/>
        <v>-0.07</v>
      </c>
    </row>
    <row r="25" ht="14.25" customHeight="1">
      <c r="A25" s="3">
        <v>40817.0</v>
      </c>
      <c r="B25" s="4">
        <v>1.54308</v>
      </c>
      <c r="C25" s="2"/>
      <c r="D25" s="4">
        <v>3.34473</v>
      </c>
      <c r="E25" s="5">
        <v>1.905452</v>
      </c>
      <c r="F25" s="6">
        <v>8.6</v>
      </c>
      <c r="G25" s="2"/>
      <c r="H25" s="2"/>
      <c r="I25" s="2"/>
      <c r="J25" s="7"/>
      <c r="K25" s="7">
        <v>4.31380988</v>
      </c>
      <c r="L25" s="2"/>
      <c r="M25" s="7">
        <v>1.9</v>
      </c>
      <c r="N25" s="7">
        <v>1.65</v>
      </c>
      <c r="O25" s="7">
        <v>9.03</v>
      </c>
      <c r="P25" s="2"/>
      <c r="Q25" s="2"/>
      <c r="R25" s="4">
        <f t="shared" ref="R25:V25" si="24">B25-K25</f>
        <v>-2.77072988</v>
      </c>
      <c r="S25" s="4">
        <f t="shared" si="24"/>
        <v>0</v>
      </c>
      <c r="T25" s="4">
        <f t="shared" si="24"/>
        <v>1.44473</v>
      </c>
      <c r="U25" s="4">
        <f t="shared" si="24"/>
        <v>0.255452</v>
      </c>
      <c r="V25" s="4">
        <f t="shared" si="24"/>
        <v>-0.43</v>
      </c>
    </row>
    <row r="26" ht="14.25" customHeight="1">
      <c r="A26" s="3">
        <v>40909.0</v>
      </c>
      <c r="B26" s="4">
        <v>2.63807</v>
      </c>
      <c r="C26" s="2"/>
      <c r="D26" s="4">
        <v>2.82932</v>
      </c>
      <c r="E26" s="5">
        <v>2.084076667</v>
      </c>
      <c r="F26" s="6">
        <v>8.3</v>
      </c>
      <c r="G26" s="2"/>
      <c r="H26" s="2"/>
      <c r="I26" s="2"/>
      <c r="J26" s="7"/>
      <c r="K26" s="7">
        <v>4.41875925</v>
      </c>
      <c r="L26" s="2"/>
      <c r="M26" s="7">
        <v>2.0</v>
      </c>
      <c r="N26" s="7">
        <v>1.91</v>
      </c>
      <c r="O26" s="7">
        <v>8.4</v>
      </c>
      <c r="P26" s="2"/>
      <c r="Q26" s="2"/>
      <c r="R26" s="4">
        <f t="shared" ref="R26:V26" si="25">B26-K26</f>
        <v>-1.78068925</v>
      </c>
      <c r="S26" s="4">
        <f t="shared" si="25"/>
        <v>0</v>
      </c>
      <c r="T26" s="4">
        <f t="shared" si="25"/>
        <v>0.82932</v>
      </c>
      <c r="U26" s="4">
        <f t="shared" si="25"/>
        <v>0.174076667</v>
      </c>
      <c r="V26" s="4">
        <f t="shared" si="25"/>
        <v>-0.1</v>
      </c>
    </row>
    <row r="27" ht="14.25" customHeight="1">
      <c r="A27" s="3">
        <v>41000.0</v>
      </c>
      <c r="B27" s="4">
        <v>2.40334</v>
      </c>
      <c r="C27" s="2"/>
      <c r="D27" s="4">
        <v>1.88792</v>
      </c>
      <c r="E27" s="5">
        <v>2.206308333</v>
      </c>
      <c r="F27" s="6">
        <v>8.2</v>
      </c>
      <c r="G27" s="2"/>
      <c r="H27" s="2"/>
      <c r="I27" s="2"/>
      <c r="J27" s="7"/>
      <c r="K27" s="7">
        <v>4.48035051</v>
      </c>
      <c r="L27" s="2"/>
      <c r="M27" s="7">
        <v>2.07</v>
      </c>
      <c r="N27" s="7">
        <v>1.99</v>
      </c>
      <c r="O27" s="7">
        <v>8.14</v>
      </c>
      <c r="P27" s="2"/>
      <c r="Q27" s="2"/>
      <c r="R27" s="4">
        <f t="shared" ref="R27:V27" si="26">B27-K27</f>
        <v>-2.07701051</v>
      </c>
      <c r="S27" s="4">
        <f t="shared" si="26"/>
        <v>0</v>
      </c>
      <c r="T27" s="4">
        <f t="shared" si="26"/>
        <v>-0.18208</v>
      </c>
      <c r="U27" s="4">
        <f t="shared" si="26"/>
        <v>0.216308333</v>
      </c>
      <c r="V27" s="4">
        <f t="shared" si="26"/>
        <v>0.06</v>
      </c>
    </row>
    <row r="28" ht="14.25" customHeight="1">
      <c r="A28" s="3">
        <v>41091.0</v>
      </c>
      <c r="B28" s="4">
        <v>2.57371</v>
      </c>
      <c r="C28" s="2"/>
      <c r="D28" s="4">
        <v>1.68486</v>
      </c>
      <c r="E28" s="5">
        <v>2.216934</v>
      </c>
      <c r="F28" s="6">
        <v>8.0</v>
      </c>
      <c r="G28" s="2"/>
      <c r="H28" s="2"/>
      <c r="I28" s="2"/>
      <c r="J28" s="7"/>
      <c r="K28" s="7">
        <v>4.05483216</v>
      </c>
      <c r="L28" s="2"/>
      <c r="M28" s="7">
        <v>1.69</v>
      </c>
      <c r="N28" s="7">
        <v>2.08</v>
      </c>
      <c r="O28" s="7">
        <v>8.19</v>
      </c>
      <c r="P28" s="2"/>
      <c r="Q28" s="2"/>
      <c r="R28" s="4">
        <f t="shared" ref="R28:V28" si="27">B28-K28</f>
        <v>-1.48112216</v>
      </c>
      <c r="S28" s="4">
        <f t="shared" si="27"/>
        <v>0</v>
      </c>
      <c r="T28" s="4">
        <f t="shared" si="27"/>
        <v>-0.00514</v>
      </c>
      <c r="U28" s="4">
        <f t="shared" si="27"/>
        <v>0.136934</v>
      </c>
      <c r="V28" s="4">
        <f t="shared" si="27"/>
        <v>-0.19</v>
      </c>
    </row>
    <row r="29" ht="14.25" customHeight="1">
      <c r="A29" s="3">
        <v>41183.0</v>
      </c>
      <c r="B29" s="4">
        <v>1.55185</v>
      </c>
      <c r="C29" s="2"/>
      <c r="D29" s="4">
        <v>1.90357</v>
      </c>
      <c r="E29" s="5">
        <v>2.169771</v>
      </c>
      <c r="F29" s="6">
        <v>7.8</v>
      </c>
      <c r="G29" s="2"/>
      <c r="H29" s="2"/>
      <c r="I29" s="2"/>
      <c r="J29" s="7"/>
      <c r="K29" s="7">
        <v>4.12901868</v>
      </c>
      <c r="L29" s="2"/>
      <c r="M29" s="7">
        <v>2.29</v>
      </c>
      <c r="N29" s="7">
        <v>1.81</v>
      </c>
      <c r="O29" s="7">
        <v>7.9</v>
      </c>
      <c r="P29" s="2"/>
      <c r="Q29" s="2"/>
      <c r="R29" s="4">
        <f t="shared" ref="R29:V29" si="28">B29-K29</f>
        <v>-2.57716868</v>
      </c>
      <c r="S29" s="4">
        <f t="shared" si="28"/>
        <v>0</v>
      </c>
      <c r="T29" s="4">
        <f t="shared" si="28"/>
        <v>-0.38643</v>
      </c>
      <c r="U29" s="4">
        <f t="shared" si="28"/>
        <v>0.359771</v>
      </c>
      <c r="V29" s="4">
        <f t="shared" si="28"/>
        <v>-0.1</v>
      </c>
    </row>
    <row r="30" ht="14.25" customHeight="1">
      <c r="A30" s="3">
        <v>41275.0</v>
      </c>
      <c r="B30" s="4">
        <v>1.70087</v>
      </c>
      <c r="C30" s="2"/>
      <c r="D30" s="4">
        <v>1.7402</v>
      </c>
      <c r="E30" s="5">
        <v>2.102180333</v>
      </c>
      <c r="F30" s="6">
        <v>7.7</v>
      </c>
      <c r="G30" s="2"/>
      <c r="H30" s="2"/>
      <c r="I30" s="2"/>
      <c r="J30" s="7"/>
      <c r="K30" s="7">
        <v>4.35409076</v>
      </c>
      <c r="L30" s="2"/>
      <c r="M30" s="7">
        <v>1.7</v>
      </c>
      <c r="N30" s="7">
        <v>1.75</v>
      </c>
      <c r="O30" s="7">
        <v>7.82</v>
      </c>
      <c r="P30" s="2"/>
      <c r="Q30" s="2"/>
      <c r="R30" s="4">
        <f t="shared" ref="R30:V30" si="29">B30-K30</f>
        <v>-2.65322076</v>
      </c>
      <c r="S30" s="4">
        <f t="shared" si="29"/>
        <v>0</v>
      </c>
      <c r="T30" s="4">
        <f t="shared" si="29"/>
        <v>0.0402</v>
      </c>
      <c r="U30" s="4">
        <f t="shared" si="29"/>
        <v>0.352180333</v>
      </c>
      <c r="V30" s="4">
        <f t="shared" si="29"/>
        <v>-0.12</v>
      </c>
    </row>
    <row r="31" ht="14.25" customHeight="1">
      <c r="A31" s="3">
        <v>41365.0</v>
      </c>
      <c r="B31" s="4">
        <v>1.51994</v>
      </c>
      <c r="C31" s="2"/>
      <c r="D31" s="4">
        <v>1.41472</v>
      </c>
      <c r="E31" s="5">
        <v>1.903783</v>
      </c>
      <c r="F31" s="6">
        <v>7.5</v>
      </c>
      <c r="G31" s="2"/>
      <c r="H31" s="2"/>
      <c r="I31" s="2"/>
      <c r="J31" s="7"/>
      <c r="K31" s="7">
        <v>4.31477292</v>
      </c>
      <c r="L31" s="2"/>
      <c r="M31" s="7">
        <v>1.2</v>
      </c>
      <c r="N31" s="7">
        <v>1.87</v>
      </c>
      <c r="O31" s="7">
        <v>7.59</v>
      </c>
      <c r="P31" s="2"/>
      <c r="Q31" s="2"/>
      <c r="R31" s="4">
        <f t="shared" ref="R31:V31" si="30">B31-K31</f>
        <v>-2.79483292</v>
      </c>
      <c r="S31" s="4">
        <f t="shared" si="30"/>
        <v>0</v>
      </c>
      <c r="T31" s="4">
        <f t="shared" si="30"/>
        <v>0.21472</v>
      </c>
      <c r="U31" s="4">
        <f t="shared" si="30"/>
        <v>0.033783</v>
      </c>
      <c r="V31" s="4">
        <f t="shared" si="30"/>
        <v>-0.09</v>
      </c>
    </row>
    <row r="32" ht="14.25" customHeight="1">
      <c r="A32" s="3">
        <v>41456.0</v>
      </c>
      <c r="B32" s="4">
        <v>2.23702</v>
      </c>
      <c r="C32" s="2"/>
      <c r="D32" s="4">
        <v>1.50495</v>
      </c>
      <c r="E32" s="5">
        <v>1.888414667</v>
      </c>
      <c r="F32" s="6">
        <v>7.2</v>
      </c>
      <c r="G32" s="2"/>
      <c r="H32" s="2"/>
      <c r="I32" s="2"/>
      <c r="J32" s="7"/>
      <c r="K32" s="7">
        <v>4.34928234</v>
      </c>
      <c r="L32" s="2"/>
      <c r="M32" s="7">
        <v>2.1</v>
      </c>
      <c r="N32" s="7">
        <v>1.71</v>
      </c>
      <c r="O32" s="7">
        <v>7.43</v>
      </c>
      <c r="P32" s="2"/>
      <c r="Q32" s="2"/>
      <c r="R32" s="4">
        <f t="shared" ref="R32:V32" si="31">B32-K32</f>
        <v>-2.11226234</v>
      </c>
      <c r="S32" s="4">
        <f t="shared" si="31"/>
        <v>0</v>
      </c>
      <c r="T32" s="4">
        <f t="shared" si="31"/>
        <v>-0.59505</v>
      </c>
      <c r="U32" s="4">
        <f t="shared" si="31"/>
        <v>0.178414667</v>
      </c>
      <c r="V32" s="4">
        <f t="shared" si="31"/>
        <v>-0.23</v>
      </c>
    </row>
    <row r="33" ht="14.25" customHeight="1">
      <c r="A33" s="3">
        <v>41548.0</v>
      </c>
      <c r="B33" s="4">
        <v>3.00914</v>
      </c>
      <c r="C33" s="2"/>
      <c r="D33" s="4">
        <v>1.2073</v>
      </c>
      <c r="E33" s="5">
        <v>1.876679667</v>
      </c>
      <c r="F33" s="6">
        <v>6.9</v>
      </c>
      <c r="G33" s="2"/>
      <c r="H33" s="2"/>
      <c r="I33" s="2"/>
      <c r="J33" s="7"/>
      <c r="K33" s="7">
        <v>4.35110045</v>
      </c>
      <c r="L33" s="2"/>
      <c r="M33" s="7">
        <v>1.64</v>
      </c>
      <c r="N33" s="7">
        <v>1.71</v>
      </c>
      <c r="O33" s="7">
        <v>7.23</v>
      </c>
      <c r="P33" s="2"/>
      <c r="Q33" s="2"/>
      <c r="R33" s="4">
        <f t="shared" ref="R33:V33" si="32">B33-K33</f>
        <v>-1.34196045</v>
      </c>
      <c r="S33" s="4">
        <f t="shared" si="32"/>
        <v>0</v>
      </c>
      <c r="T33" s="4">
        <f t="shared" si="32"/>
        <v>-0.4327</v>
      </c>
      <c r="U33" s="4">
        <f t="shared" si="32"/>
        <v>0.166679667</v>
      </c>
      <c r="V33" s="4">
        <f t="shared" si="32"/>
        <v>-0.33</v>
      </c>
    </row>
    <row r="34" ht="14.25" customHeight="1">
      <c r="A34" s="3">
        <v>41640.0</v>
      </c>
      <c r="B34" s="4">
        <v>1.65082</v>
      </c>
      <c r="C34" s="2"/>
      <c r="D34" s="4">
        <v>1.42991</v>
      </c>
      <c r="E34" s="5">
        <v>1.810864333</v>
      </c>
      <c r="F34" s="6">
        <v>6.7</v>
      </c>
      <c r="G34" s="2"/>
      <c r="H34" s="2"/>
      <c r="I34" s="2"/>
      <c r="J34" s="7"/>
      <c r="K34" s="7">
        <v>4.43575772</v>
      </c>
      <c r="L34" s="2"/>
      <c r="M34" s="7">
        <v>1.77</v>
      </c>
      <c r="N34" s="7">
        <v>1.81</v>
      </c>
      <c r="O34" s="7">
        <v>6.69</v>
      </c>
      <c r="P34" s="2"/>
      <c r="Q34" s="2"/>
      <c r="R34" s="4">
        <f t="shared" ref="R34:V34" si="33">B34-K34</f>
        <v>-2.78493772</v>
      </c>
      <c r="S34" s="4">
        <f t="shared" si="33"/>
        <v>0</v>
      </c>
      <c r="T34" s="4">
        <f t="shared" si="33"/>
        <v>-0.34009</v>
      </c>
      <c r="U34" s="4">
        <f t="shared" si="33"/>
        <v>0.000864333</v>
      </c>
      <c r="V34" s="4">
        <f t="shared" si="33"/>
        <v>0.01</v>
      </c>
    </row>
    <row r="35" ht="14.25" customHeight="1">
      <c r="A35" s="3">
        <v>41730.0</v>
      </c>
      <c r="B35" s="4">
        <v>2.68915</v>
      </c>
      <c r="C35" s="2"/>
      <c r="D35" s="4">
        <v>2.08034</v>
      </c>
      <c r="E35" s="5">
        <v>2.098655333</v>
      </c>
      <c r="F35" s="6">
        <v>6.2</v>
      </c>
      <c r="G35" s="2"/>
      <c r="H35" s="2"/>
      <c r="I35" s="2"/>
      <c r="J35" s="7"/>
      <c r="K35" s="7">
        <v>4.88576571</v>
      </c>
      <c r="L35" s="2"/>
      <c r="M35" s="7">
        <v>1.94</v>
      </c>
      <c r="N35" s="7">
        <v>1.83</v>
      </c>
      <c r="O35" s="7">
        <v>6.38</v>
      </c>
      <c r="P35" s="2"/>
      <c r="Q35" s="2"/>
      <c r="R35" s="4">
        <f t="shared" ref="R35:V35" si="34">B35-K35</f>
        <v>-2.19661571</v>
      </c>
      <c r="S35" s="4">
        <f t="shared" si="34"/>
        <v>0</v>
      </c>
      <c r="T35" s="4">
        <f t="shared" si="34"/>
        <v>0.14034</v>
      </c>
      <c r="U35" s="4">
        <f t="shared" si="34"/>
        <v>0.268655333</v>
      </c>
      <c r="V35" s="4">
        <f t="shared" si="34"/>
        <v>-0.18</v>
      </c>
    </row>
    <row r="36" ht="14.25" customHeight="1">
      <c r="A36" s="3">
        <v>41821.0</v>
      </c>
      <c r="B36" s="4">
        <v>3.05978</v>
      </c>
      <c r="C36" s="2"/>
      <c r="D36" s="4">
        <v>1.79097</v>
      </c>
      <c r="E36" s="5">
        <v>2.002502</v>
      </c>
      <c r="F36" s="6">
        <v>6.1</v>
      </c>
      <c r="G36" s="2"/>
      <c r="H36" s="2"/>
      <c r="I36" s="2"/>
      <c r="J36" s="7"/>
      <c r="K36" s="7">
        <v>4.57646821</v>
      </c>
      <c r="L36" s="2"/>
      <c r="M36" s="7">
        <v>2.14</v>
      </c>
      <c r="N36" s="7">
        <v>2.08</v>
      </c>
      <c r="O36" s="7">
        <v>6.12</v>
      </c>
      <c r="P36" s="2"/>
      <c r="Q36" s="2"/>
      <c r="R36" s="4">
        <f t="shared" ref="R36:V36" si="35">B36-K36</f>
        <v>-1.51668821</v>
      </c>
      <c r="S36" s="4">
        <f t="shared" si="35"/>
        <v>0</v>
      </c>
      <c r="T36" s="4">
        <f t="shared" si="35"/>
        <v>-0.34903</v>
      </c>
      <c r="U36" s="4">
        <f t="shared" si="35"/>
        <v>-0.077498</v>
      </c>
      <c r="V36" s="4">
        <f t="shared" si="35"/>
        <v>-0.02</v>
      </c>
    </row>
    <row r="37" ht="14.25" customHeight="1">
      <c r="A37" s="3">
        <v>41913.0</v>
      </c>
      <c r="B37" s="4">
        <v>2.68584</v>
      </c>
      <c r="C37" s="2"/>
      <c r="D37" s="4">
        <v>1.16401</v>
      </c>
      <c r="E37" s="5">
        <v>1.987279</v>
      </c>
      <c r="F37" s="6">
        <v>5.7</v>
      </c>
      <c r="G37" s="2"/>
      <c r="H37" s="2"/>
      <c r="I37" s="2"/>
      <c r="J37" s="7"/>
      <c r="K37" s="7">
        <v>4.71732374</v>
      </c>
      <c r="L37" s="2"/>
      <c r="M37" s="7">
        <v>0.85</v>
      </c>
      <c r="N37" s="7">
        <v>1.65</v>
      </c>
      <c r="O37" s="7">
        <v>5.87</v>
      </c>
      <c r="P37" s="2"/>
      <c r="Q37" s="2"/>
      <c r="R37" s="4">
        <f t="shared" ref="R37:V37" si="36">B37-K37</f>
        <v>-2.03148374</v>
      </c>
      <c r="S37" s="4">
        <f t="shared" si="36"/>
        <v>0</v>
      </c>
      <c r="T37" s="4">
        <f t="shared" si="36"/>
        <v>0.31401</v>
      </c>
      <c r="U37" s="4">
        <f t="shared" si="36"/>
        <v>0.337279</v>
      </c>
      <c r="V37" s="4">
        <f t="shared" si="36"/>
        <v>-0.17</v>
      </c>
    </row>
    <row r="38" ht="14.25" customHeight="1">
      <c r="A38" s="3">
        <v>42005.0</v>
      </c>
      <c r="B38" s="4">
        <v>3.9693</v>
      </c>
      <c r="C38" s="2"/>
      <c r="D38" s="4">
        <v>-0.11289</v>
      </c>
      <c r="E38" s="5">
        <v>1.979496</v>
      </c>
      <c r="F38" s="6">
        <v>5.5</v>
      </c>
      <c r="G38" s="2"/>
      <c r="H38" s="2"/>
      <c r="I38" s="2"/>
      <c r="J38" s="7"/>
      <c r="K38" s="7">
        <v>4.34074038</v>
      </c>
      <c r="L38" s="2"/>
      <c r="M38" s="7">
        <v>-1.43</v>
      </c>
      <c r="N38" s="7">
        <v>1.31</v>
      </c>
      <c r="O38" s="7">
        <v>5.58</v>
      </c>
      <c r="P38" s="2"/>
      <c r="Q38" s="2"/>
      <c r="R38" s="4">
        <f t="shared" ref="R38:V38" si="37">B38-K38</f>
        <v>-0.37144038</v>
      </c>
      <c r="S38" s="4">
        <f t="shared" si="37"/>
        <v>0</v>
      </c>
      <c r="T38" s="4">
        <f t="shared" si="37"/>
        <v>1.31711</v>
      </c>
      <c r="U38" s="4">
        <f t="shared" si="37"/>
        <v>0.669496</v>
      </c>
      <c r="V38" s="4">
        <f t="shared" si="37"/>
        <v>-0.08</v>
      </c>
    </row>
    <row r="39" ht="14.25" customHeight="1">
      <c r="A39" s="3">
        <v>42095.0</v>
      </c>
      <c r="B39" s="4">
        <v>3.27909</v>
      </c>
      <c r="C39" s="2"/>
      <c r="D39" s="4">
        <v>0.03701</v>
      </c>
      <c r="E39" s="5">
        <v>2.071334333</v>
      </c>
      <c r="F39" s="6">
        <v>5.4</v>
      </c>
      <c r="G39" s="2"/>
      <c r="H39" s="2"/>
      <c r="I39" s="2"/>
      <c r="J39" s="7"/>
      <c r="K39" s="7">
        <v>4.44749091</v>
      </c>
      <c r="L39" s="2"/>
      <c r="M39" s="7">
        <v>1.65</v>
      </c>
      <c r="N39" s="7">
        <v>1.8</v>
      </c>
      <c r="O39" s="7">
        <v>5.42</v>
      </c>
      <c r="P39" s="2"/>
      <c r="Q39" s="2"/>
      <c r="R39" s="4">
        <f t="shared" ref="R39:V39" si="38">B39-K39</f>
        <v>-1.16840091</v>
      </c>
      <c r="S39" s="4">
        <f t="shared" si="38"/>
        <v>0</v>
      </c>
      <c r="T39" s="4">
        <f t="shared" si="38"/>
        <v>-1.61299</v>
      </c>
      <c r="U39" s="4">
        <f t="shared" si="38"/>
        <v>0.271334333</v>
      </c>
      <c r="V39" s="4">
        <f t="shared" si="38"/>
        <v>-0.02</v>
      </c>
    </row>
    <row r="40" ht="14.25" customHeight="1">
      <c r="A40" s="3">
        <v>42186.0</v>
      </c>
      <c r="B40" s="4">
        <v>2.44732</v>
      </c>
      <c r="C40" s="2"/>
      <c r="D40" s="4">
        <v>0.15861</v>
      </c>
      <c r="E40" s="5">
        <v>2.189406</v>
      </c>
      <c r="F40" s="6">
        <v>5.1</v>
      </c>
      <c r="G40" s="2"/>
      <c r="H40" s="2"/>
      <c r="I40" s="2"/>
      <c r="J40" s="7"/>
      <c r="K40" s="7">
        <v>4.55829015</v>
      </c>
      <c r="L40" s="2"/>
      <c r="M40" s="7">
        <v>1.83</v>
      </c>
      <c r="N40" s="7">
        <v>1.85</v>
      </c>
      <c r="O40" s="7">
        <v>5.25</v>
      </c>
      <c r="P40" s="2"/>
      <c r="Q40" s="2"/>
      <c r="R40" s="4">
        <f t="shared" ref="R40:V40" si="39">B40-K40</f>
        <v>-2.11097015</v>
      </c>
      <c r="S40" s="4">
        <f t="shared" si="39"/>
        <v>0</v>
      </c>
      <c r="T40" s="4">
        <f t="shared" si="39"/>
        <v>-1.67139</v>
      </c>
      <c r="U40" s="4">
        <f t="shared" si="39"/>
        <v>0.339406</v>
      </c>
      <c r="V40" s="4">
        <f t="shared" si="39"/>
        <v>-0.15</v>
      </c>
    </row>
    <row r="41" ht="14.25" customHeight="1">
      <c r="A41" s="3">
        <v>42278.0</v>
      </c>
      <c r="B41" s="4">
        <v>2.11986</v>
      </c>
      <c r="C41" s="2"/>
      <c r="D41" s="4">
        <v>0.40047</v>
      </c>
      <c r="E41" s="5">
        <v>2.389204667</v>
      </c>
      <c r="F41" s="6">
        <v>5.0</v>
      </c>
      <c r="G41" s="2"/>
      <c r="H41" s="2"/>
      <c r="I41" s="2"/>
      <c r="J41" s="7"/>
      <c r="K41" s="7">
        <v>4.35145948</v>
      </c>
      <c r="L41" s="2"/>
      <c r="M41" s="7">
        <v>0.93</v>
      </c>
      <c r="N41" s="7">
        <v>1.78</v>
      </c>
      <c r="O41" s="7">
        <v>5.03</v>
      </c>
      <c r="P41" s="2"/>
      <c r="Q41" s="2"/>
      <c r="R41" s="4">
        <f t="shared" ref="R41:V41" si="40">B41-K41</f>
        <v>-2.23159948</v>
      </c>
      <c r="S41" s="4">
        <f t="shared" si="40"/>
        <v>0</v>
      </c>
      <c r="T41" s="4">
        <f t="shared" si="40"/>
        <v>-0.52953</v>
      </c>
      <c r="U41" s="4">
        <f t="shared" si="40"/>
        <v>0.609204667</v>
      </c>
      <c r="V41" s="4">
        <f t="shared" si="40"/>
        <v>-0.03</v>
      </c>
    </row>
    <row r="42" ht="14.25" customHeight="1">
      <c r="A42" s="3">
        <v>42370.0</v>
      </c>
      <c r="B42" s="4">
        <v>1.79502</v>
      </c>
      <c r="C42" s="2"/>
      <c r="D42" s="4">
        <v>0.99184</v>
      </c>
      <c r="E42" s="5">
        <v>2.508448667</v>
      </c>
      <c r="F42" s="6">
        <v>4.9</v>
      </c>
      <c r="G42" s="2"/>
      <c r="H42" s="2"/>
      <c r="I42" s="2"/>
      <c r="J42" s="7"/>
      <c r="K42" s="7">
        <v>4.08449484</v>
      </c>
      <c r="L42" s="2"/>
      <c r="M42" s="7">
        <v>0.27</v>
      </c>
      <c r="N42" s="7">
        <v>1.76</v>
      </c>
      <c r="O42" s="7">
        <v>4.91</v>
      </c>
      <c r="P42" s="2"/>
      <c r="Q42" s="2"/>
      <c r="R42" s="4">
        <f t="shared" ref="R42:V42" si="41">B42-K42</f>
        <v>-2.28947484</v>
      </c>
      <c r="S42" s="4">
        <f t="shared" si="41"/>
        <v>0</v>
      </c>
      <c r="T42" s="4">
        <f t="shared" si="41"/>
        <v>0.72184</v>
      </c>
      <c r="U42" s="4">
        <f t="shared" si="41"/>
        <v>0.748448667</v>
      </c>
      <c r="V42" s="4">
        <f t="shared" si="41"/>
        <v>-0.01</v>
      </c>
    </row>
    <row r="43" ht="14.25" customHeight="1">
      <c r="A43" s="3">
        <v>42461.0</v>
      </c>
      <c r="B43" s="4">
        <v>1.49325</v>
      </c>
      <c r="C43" s="2"/>
      <c r="D43" s="4">
        <v>1.11003</v>
      </c>
      <c r="E43" s="5">
        <v>2.553579</v>
      </c>
      <c r="F43" s="6">
        <v>4.9</v>
      </c>
      <c r="G43" s="2"/>
      <c r="H43" s="2"/>
      <c r="I43" s="2"/>
      <c r="J43" s="7"/>
      <c r="K43" s="7">
        <v>4.10737758</v>
      </c>
      <c r="L43" s="2"/>
      <c r="M43" s="7">
        <v>1.85</v>
      </c>
      <c r="N43" s="7">
        <v>1.98</v>
      </c>
      <c r="O43" s="7">
        <v>4.9</v>
      </c>
      <c r="P43" s="2"/>
      <c r="Q43" s="2"/>
      <c r="R43" s="4">
        <f t="shared" ref="R43:V43" si="42">B43-K43</f>
        <v>-2.61412758</v>
      </c>
      <c r="S43" s="4">
        <f t="shared" si="42"/>
        <v>0</v>
      </c>
      <c r="T43" s="4">
        <f t="shared" si="42"/>
        <v>-0.73997</v>
      </c>
      <c r="U43" s="4">
        <f t="shared" si="42"/>
        <v>0.573579</v>
      </c>
      <c r="V43" s="4">
        <f t="shared" si="42"/>
        <v>0</v>
      </c>
    </row>
    <row r="44" ht="14.25" customHeight="1">
      <c r="A44" s="3">
        <v>42552.0</v>
      </c>
      <c r="B44" s="4">
        <v>1.80576</v>
      </c>
      <c r="C44" s="2"/>
      <c r="D44" s="4">
        <v>1.15715</v>
      </c>
      <c r="E44" s="5">
        <v>2.636933667</v>
      </c>
      <c r="F44" s="6">
        <v>4.9</v>
      </c>
      <c r="G44" s="2"/>
      <c r="H44" s="2"/>
      <c r="I44" s="2"/>
      <c r="J44" s="7"/>
      <c r="K44" s="7">
        <v>4.24976951</v>
      </c>
      <c r="L44" s="2"/>
      <c r="M44" s="7">
        <v>1.87</v>
      </c>
      <c r="N44" s="7">
        <v>2.02</v>
      </c>
      <c r="O44" s="7">
        <v>4.83</v>
      </c>
      <c r="P44" s="2"/>
      <c r="Q44" s="2"/>
      <c r="R44" s="4">
        <f t="shared" ref="R44:V44" si="43">B44-K44</f>
        <v>-2.44400951</v>
      </c>
      <c r="S44" s="4">
        <f t="shared" si="43"/>
        <v>0</v>
      </c>
      <c r="T44" s="4">
        <f t="shared" si="43"/>
        <v>-0.71285</v>
      </c>
      <c r="U44" s="4">
        <f t="shared" si="43"/>
        <v>0.616933667</v>
      </c>
      <c r="V44" s="4">
        <f t="shared" si="43"/>
        <v>0.07</v>
      </c>
    </row>
    <row r="45" ht="14.25" customHeight="1">
      <c r="A45" s="3">
        <v>42644.0</v>
      </c>
      <c r="B45" s="4">
        <v>2.18157</v>
      </c>
      <c r="C45" s="2"/>
      <c r="D45" s="4">
        <v>1.80698</v>
      </c>
      <c r="E45" s="5">
        <v>2.535372667</v>
      </c>
      <c r="F45" s="6">
        <v>4.8</v>
      </c>
      <c r="G45" s="2"/>
      <c r="H45" s="2"/>
      <c r="I45" s="2"/>
      <c r="J45" s="7"/>
      <c r="K45" s="7">
        <v>4.2519389</v>
      </c>
      <c r="L45" s="2"/>
      <c r="M45" s="7">
        <v>2.41</v>
      </c>
      <c r="N45" s="7">
        <v>2.06</v>
      </c>
      <c r="O45" s="7">
        <v>4.85</v>
      </c>
      <c r="P45" s="2"/>
      <c r="Q45" s="2"/>
      <c r="R45" s="4">
        <f t="shared" ref="R45:V45" si="44">B45-K45</f>
        <v>-2.0703689</v>
      </c>
      <c r="S45" s="4">
        <f t="shared" si="44"/>
        <v>0</v>
      </c>
      <c r="T45" s="4">
        <f t="shared" si="44"/>
        <v>-0.60302</v>
      </c>
      <c r="U45" s="4">
        <f t="shared" si="44"/>
        <v>0.475372667</v>
      </c>
      <c r="V45" s="4">
        <f t="shared" si="44"/>
        <v>-0.05</v>
      </c>
    </row>
    <row r="46" ht="14.25" customHeight="1">
      <c r="A46" s="3">
        <v>42736.0</v>
      </c>
      <c r="B46" s="4">
        <v>2.08746</v>
      </c>
      <c r="C46" s="2"/>
      <c r="D46" s="4">
        <v>2.58713</v>
      </c>
      <c r="E46" s="5">
        <v>2.584297</v>
      </c>
      <c r="F46" s="6">
        <v>4.6</v>
      </c>
      <c r="G46" s="2"/>
      <c r="H46" s="2"/>
      <c r="I46" s="2"/>
      <c r="J46" s="7"/>
      <c r="K46" s="7">
        <v>4.55895991</v>
      </c>
      <c r="L46" s="2"/>
      <c r="M46" s="7">
        <v>2.61</v>
      </c>
      <c r="N46" s="7">
        <v>2.27</v>
      </c>
      <c r="O46" s="7">
        <v>4.71</v>
      </c>
      <c r="P46" s="2"/>
      <c r="Q46" s="2"/>
      <c r="R46" s="4">
        <f t="shared" ref="R46:V46" si="45">B46-K46</f>
        <v>-2.47149991</v>
      </c>
      <c r="S46" s="4">
        <f t="shared" si="45"/>
        <v>0</v>
      </c>
      <c r="T46" s="4">
        <f t="shared" si="45"/>
        <v>-0.02287</v>
      </c>
      <c r="U46" s="4">
        <f t="shared" si="45"/>
        <v>0.314297</v>
      </c>
      <c r="V46" s="4">
        <f t="shared" si="45"/>
        <v>-0.11</v>
      </c>
    </row>
    <row r="47" ht="14.25" customHeight="1">
      <c r="A47" s="3">
        <v>42826.0</v>
      </c>
      <c r="B47" s="4">
        <v>2.33041</v>
      </c>
      <c r="C47" s="2"/>
      <c r="D47" s="4">
        <v>1.89059</v>
      </c>
      <c r="E47" s="5">
        <v>2.165805</v>
      </c>
      <c r="F47" s="6">
        <v>4.4</v>
      </c>
      <c r="G47" s="2"/>
      <c r="H47" s="2"/>
      <c r="I47" s="2"/>
      <c r="J47" s="7"/>
      <c r="K47" s="7">
        <v>4.75841665</v>
      </c>
      <c r="L47" s="2"/>
      <c r="M47" s="7">
        <v>1.61</v>
      </c>
      <c r="N47" s="7">
        <v>1.92</v>
      </c>
      <c r="O47" s="7">
        <v>4.52</v>
      </c>
      <c r="P47" s="2"/>
      <c r="Q47" s="2"/>
      <c r="R47" s="4">
        <f t="shared" ref="R47:V47" si="46">B47-K47</f>
        <v>-2.42800665</v>
      </c>
      <c r="S47" s="4">
        <f t="shared" si="46"/>
        <v>0</v>
      </c>
      <c r="T47" s="4">
        <f t="shared" si="46"/>
        <v>0.28059</v>
      </c>
      <c r="U47" s="4">
        <f t="shared" si="46"/>
        <v>0.245805</v>
      </c>
      <c r="V47" s="4">
        <f t="shared" si="46"/>
        <v>-0.12</v>
      </c>
    </row>
    <row r="48" ht="14.25" customHeight="1">
      <c r="A48" s="3">
        <v>42917.0</v>
      </c>
      <c r="B48" s="4">
        <v>2.41082</v>
      </c>
      <c r="C48" s="2"/>
      <c r="D48" s="4">
        <v>1.94494</v>
      </c>
      <c r="E48" s="5">
        <v>2.099392667</v>
      </c>
      <c r="F48" s="6">
        <v>4.3</v>
      </c>
      <c r="G48" s="2"/>
      <c r="H48" s="2"/>
      <c r="I48" s="2"/>
      <c r="J48" s="7"/>
      <c r="K48" s="7">
        <v>4.45134224</v>
      </c>
      <c r="L48" s="2"/>
      <c r="M48" s="7">
        <v>1.7</v>
      </c>
      <c r="N48" s="7">
        <v>1.82</v>
      </c>
      <c r="O48" s="7">
        <v>4.3</v>
      </c>
      <c r="P48" s="2"/>
      <c r="Q48" s="2"/>
      <c r="R48" s="4">
        <f t="shared" ref="R48:V48" si="47">B48-K48</f>
        <v>-2.04052224</v>
      </c>
      <c r="S48" s="4">
        <f t="shared" si="47"/>
        <v>0</v>
      </c>
      <c r="T48" s="4">
        <f t="shared" si="47"/>
        <v>0.24494</v>
      </c>
      <c r="U48" s="4">
        <f t="shared" si="47"/>
        <v>0.279392667</v>
      </c>
      <c r="V48" s="4">
        <f t="shared" si="47"/>
        <v>0</v>
      </c>
    </row>
    <row r="49" ht="14.25" customHeight="1">
      <c r="A49" s="3">
        <v>43009.0</v>
      </c>
      <c r="B49" s="4">
        <v>2.99414</v>
      </c>
      <c r="C49" s="2"/>
      <c r="D49" s="4">
        <v>2.10778</v>
      </c>
      <c r="E49" s="5">
        <v>2.131523333</v>
      </c>
      <c r="F49" s="6">
        <v>4.2</v>
      </c>
      <c r="G49" s="2"/>
      <c r="H49" s="2"/>
      <c r="I49" s="2"/>
      <c r="J49" s="7"/>
      <c r="K49" s="7">
        <v>4.50553107</v>
      </c>
      <c r="L49" s="2"/>
      <c r="M49" s="7">
        <v>2.6</v>
      </c>
      <c r="N49" s="7">
        <v>1.95</v>
      </c>
      <c r="O49" s="7">
        <v>4.16</v>
      </c>
      <c r="P49" s="2"/>
      <c r="Q49" s="2"/>
      <c r="R49" s="4">
        <f t="shared" ref="R49:V49" si="48">B49-K49</f>
        <v>-1.51139107</v>
      </c>
      <c r="S49" s="4">
        <f t="shared" si="48"/>
        <v>0</v>
      </c>
      <c r="T49" s="4">
        <f t="shared" si="48"/>
        <v>-0.49222</v>
      </c>
      <c r="U49" s="4">
        <f t="shared" si="48"/>
        <v>0.181523333</v>
      </c>
      <c r="V49" s="4">
        <f t="shared" si="48"/>
        <v>0.04</v>
      </c>
    </row>
    <row r="50" ht="14.25" customHeight="1">
      <c r="A50" s="3">
        <v>43101.0</v>
      </c>
      <c r="B50" s="4">
        <v>3.32881</v>
      </c>
      <c r="C50" s="2"/>
      <c r="D50" s="4">
        <v>2.24862</v>
      </c>
      <c r="E50" s="5">
        <v>2.21595</v>
      </c>
      <c r="F50" s="6">
        <v>4.0</v>
      </c>
      <c r="G50" s="2"/>
      <c r="H50" s="2"/>
      <c r="I50" s="2"/>
      <c r="J50" s="7"/>
      <c r="K50" s="7">
        <v>4.91973757</v>
      </c>
      <c r="L50" s="2"/>
      <c r="M50" s="7">
        <v>2.61</v>
      </c>
      <c r="N50" s="7">
        <v>2.25</v>
      </c>
      <c r="O50" s="7">
        <v>4.04</v>
      </c>
      <c r="P50" s="2"/>
      <c r="Q50" s="2"/>
      <c r="R50" s="4">
        <f t="shared" ref="R50:V50" si="49">B50-K50</f>
        <v>-1.59092757</v>
      </c>
      <c r="S50" s="4">
        <f t="shared" si="49"/>
        <v>0</v>
      </c>
      <c r="T50" s="4">
        <f t="shared" si="49"/>
        <v>-0.36138</v>
      </c>
      <c r="U50" s="4">
        <f t="shared" si="49"/>
        <v>-0.03405</v>
      </c>
      <c r="V50" s="4">
        <f t="shared" si="49"/>
        <v>-0.04</v>
      </c>
    </row>
    <row r="51" ht="14.25" customHeight="1">
      <c r="A51" s="3">
        <v>43191.0</v>
      </c>
      <c r="B51" s="4">
        <v>3.29896</v>
      </c>
      <c r="C51" s="2"/>
      <c r="D51" s="4">
        <v>2.68679</v>
      </c>
      <c r="E51" s="5">
        <v>2.528900333</v>
      </c>
      <c r="F51" s="6">
        <v>3.9</v>
      </c>
      <c r="G51" s="2"/>
      <c r="H51" s="2"/>
      <c r="I51" s="2"/>
      <c r="J51" s="7"/>
      <c r="K51" s="7">
        <v>5.12770933</v>
      </c>
      <c r="L51" s="2"/>
      <c r="M51" s="7">
        <v>2.01</v>
      </c>
      <c r="N51" s="7">
        <v>2.3</v>
      </c>
      <c r="O51" s="7">
        <v>3.94</v>
      </c>
      <c r="P51" s="2"/>
      <c r="Q51" s="2"/>
      <c r="R51" s="4">
        <f t="shared" ref="R51:V51" si="50">B51-K51</f>
        <v>-1.82874933</v>
      </c>
      <c r="S51" s="4">
        <f t="shared" si="50"/>
        <v>0</v>
      </c>
      <c r="T51" s="4">
        <f t="shared" si="50"/>
        <v>0.67679</v>
      </c>
      <c r="U51" s="4">
        <f t="shared" si="50"/>
        <v>0.228900333</v>
      </c>
      <c r="V51" s="4">
        <f t="shared" si="50"/>
        <v>-0.04</v>
      </c>
    </row>
    <row r="52" ht="14.25" customHeight="1">
      <c r="A52" s="3">
        <v>43282.0</v>
      </c>
      <c r="B52" s="4">
        <v>3.13003</v>
      </c>
      <c r="C52" s="2"/>
      <c r="D52" s="4">
        <v>2.60892</v>
      </c>
      <c r="E52" s="5">
        <v>2.471359</v>
      </c>
      <c r="F52" s="6">
        <v>3.8</v>
      </c>
      <c r="G52" s="2"/>
      <c r="H52" s="2"/>
      <c r="I52" s="2"/>
      <c r="J52" s="7"/>
      <c r="K52" s="7">
        <v>5.08981901</v>
      </c>
      <c r="L52" s="2"/>
      <c r="M52" s="7">
        <v>2.34</v>
      </c>
      <c r="N52" s="7">
        <v>2.27</v>
      </c>
      <c r="O52" s="7">
        <v>3.83</v>
      </c>
      <c r="P52" s="2"/>
      <c r="Q52" s="2"/>
      <c r="R52" s="4">
        <f t="shared" ref="R52:V52" si="51">B52-K52</f>
        <v>-1.95978901</v>
      </c>
      <c r="S52" s="4">
        <f t="shared" si="51"/>
        <v>0</v>
      </c>
      <c r="T52" s="4">
        <f t="shared" si="51"/>
        <v>0.26892</v>
      </c>
      <c r="U52" s="4">
        <f t="shared" si="51"/>
        <v>0.201359</v>
      </c>
      <c r="V52" s="4">
        <f t="shared" si="51"/>
        <v>-0.03</v>
      </c>
    </row>
    <row r="53" ht="14.25" customHeight="1">
      <c r="A53" s="3">
        <v>43374.0</v>
      </c>
      <c r="B53" s="4">
        <v>2.12511</v>
      </c>
      <c r="C53" s="2"/>
      <c r="D53" s="4">
        <v>2.21352</v>
      </c>
      <c r="E53" s="5">
        <v>2.449275667</v>
      </c>
      <c r="F53" s="6">
        <v>3.8</v>
      </c>
      <c r="G53" s="2"/>
      <c r="H53" s="2"/>
      <c r="I53" s="2"/>
      <c r="J53" s="7"/>
      <c r="K53" s="7">
        <v>4.90983536</v>
      </c>
      <c r="L53" s="2"/>
      <c r="M53" s="7">
        <v>2.4</v>
      </c>
      <c r="N53" s="7">
        <v>2.12</v>
      </c>
      <c r="O53" s="7">
        <v>3.71</v>
      </c>
      <c r="P53" s="2"/>
      <c r="Q53" s="2"/>
      <c r="R53" s="4">
        <f t="shared" ref="R53:V53" si="52">B53-K53</f>
        <v>-2.78472536</v>
      </c>
      <c r="S53" s="4">
        <f t="shared" si="52"/>
        <v>0</v>
      </c>
      <c r="T53" s="4">
        <f t="shared" si="52"/>
        <v>-0.18648</v>
      </c>
      <c r="U53" s="4">
        <f t="shared" si="52"/>
        <v>0.329275667</v>
      </c>
      <c r="V53" s="4">
        <f t="shared" si="52"/>
        <v>0.09</v>
      </c>
    </row>
    <row r="54" ht="14.25" customHeight="1">
      <c r="A54" s="3">
        <v>43466.0</v>
      </c>
      <c r="B54" s="4">
        <v>1.93356</v>
      </c>
      <c r="C54" s="2"/>
      <c r="D54" s="4">
        <v>1.63002</v>
      </c>
      <c r="E54" s="5">
        <v>2.369314333</v>
      </c>
      <c r="F54" s="6">
        <v>3.9</v>
      </c>
      <c r="G54" s="2"/>
      <c r="H54" s="2"/>
      <c r="I54" s="2"/>
      <c r="J54" s="7"/>
      <c r="K54" s="7">
        <v>4.30576022</v>
      </c>
      <c r="L54" s="2"/>
      <c r="M54" s="7">
        <v>1.23</v>
      </c>
      <c r="N54" s="7">
        <v>2.35</v>
      </c>
      <c r="O54" s="7">
        <v>3.84</v>
      </c>
      <c r="P54" s="2"/>
      <c r="Q54" s="2"/>
      <c r="R54" s="4">
        <f t="shared" ref="R54:V54" si="53">B54-K54</f>
        <v>-2.37220022</v>
      </c>
      <c r="S54" s="4">
        <f t="shared" si="53"/>
        <v>0</v>
      </c>
      <c r="T54" s="4">
        <f t="shared" si="53"/>
        <v>0.40002</v>
      </c>
      <c r="U54" s="4">
        <f t="shared" si="53"/>
        <v>0.019314333</v>
      </c>
      <c r="V54" s="4">
        <f t="shared" si="53"/>
        <v>0.06</v>
      </c>
    </row>
    <row r="55" ht="14.25" customHeight="1">
      <c r="A55" s="3">
        <v>43556.0</v>
      </c>
      <c r="B55" s="4">
        <v>2.24213</v>
      </c>
      <c r="C55" s="2"/>
      <c r="D55" s="4">
        <v>1.82238</v>
      </c>
      <c r="E55" s="5">
        <v>2.382091</v>
      </c>
      <c r="F55" s="6">
        <v>3.6</v>
      </c>
      <c r="G55" s="2"/>
      <c r="H55" s="2"/>
      <c r="I55" s="2"/>
      <c r="J55" s="7"/>
      <c r="K55" s="7">
        <v>4.21919743</v>
      </c>
      <c r="L55" s="2"/>
      <c r="M55" s="7">
        <v>2.67</v>
      </c>
      <c r="N55" s="7">
        <v>2.05</v>
      </c>
      <c r="O55" s="7">
        <v>3.68</v>
      </c>
      <c r="P55" s="2"/>
      <c r="Q55" s="2"/>
      <c r="R55" s="4">
        <f t="shared" ref="R55:V55" si="54">B55-K55</f>
        <v>-1.97706743</v>
      </c>
      <c r="S55" s="4">
        <f t="shared" si="54"/>
        <v>0</v>
      </c>
      <c r="T55" s="4">
        <f t="shared" si="54"/>
        <v>-0.84762</v>
      </c>
      <c r="U55" s="4">
        <f t="shared" si="54"/>
        <v>0.332091</v>
      </c>
      <c r="V55" s="4">
        <f t="shared" si="54"/>
        <v>-0.08</v>
      </c>
    </row>
    <row r="56" ht="14.25" customHeight="1">
      <c r="A56" s="3">
        <v>43647.0</v>
      </c>
      <c r="B56" s="4">
        <v>2.79722</v>
      </c>
      <c r="C56" s="2"/>
      <c r="D56" s="4">
        <v>1.7494</v>
      </c>
      <c r="E56" s="5">
        <v>2.576418333</v>
      </c>
      <c r="F56" s="6">
        <v>3.6</v>
      </c>
      <c r="G56" s="2"/>
      <c r="H56" s="2"/>
      <c r="I56" s="2"/>
      <c r="J56" s="7"/>
      <c r="K56" s="7">
        <v>3.98259875</v>
      </c>
      <c r="L56" s="2"/>
      <c r="M56" s="7">
        <v>1.83</v>
      </c>
      <c r="N56" s="7">
        <v>2.16</v>
      </c>
      <c r="O56" s="7">
        <v>3.64</v>
      </c>
      <c r="P56" s="2"/>
      <c r="Q56" s="2"/>
      <c r="R56" s="4">
        <f t="shared" ref="R56:V56" si="55">B56-K56</f>
        <v>-1.18537875</v>
      </c>
      <c r="S56" s="4">
        <f t="shared" si="55"/>
        <v>0</v>
      </c>
      <c r="T56" s="4">
        <f t="shared" si="55"/>
        <v>-0.0806</v>
      </c>
      <c r="U56" s="4">
        <f t="shared" si="55"/>
        <v>0.416418333</v>
      </c>
      <c r="V56" s="4">
        <f t="shared" si="55"/>
        <v>-0.04</v>
      </c>
    </row>
    <row r="57" ht="14.25" customHeight="1">
      <c r="A57" s="3">
        <v>43739.0</v>
      </c>
      <c r="B57" s="4">
        <v>3.35178</v>
      </c>
      <c r="C57" s="2"/>
      <c r="D57" s="4">
        <v>2.04859</v>
      </c>
      <c r="E57" s="5">
        <v>2.757408667</v>
      </c>
      <c r="F57" s="6">
        <v>3.6</v>
      </c>
      <c r="G57" s="2"/>
      <c r="H57" s="2"/>
      <c r="I57" s="2"/>
      <c r="J57" s="7"/>
      <c r="K57" s="7">
        <v>3.89682914</v>
      </c>
      <c r="L57" s="2"/>
      <c r="M57" s="7">
        <v>1.84</v>
      </c>
      <c r="N57" s="7">
        <v>2.13</v>
      </c>
      <c r="O57" s="7">
        <v>3.61</v>
      </c>
      <c r="P57" s="2"/>
      <c r="Q57" s="2"/>
      <c r="R57" s="4">
        <f t="shared" ref="R57:V57" si="56">B57-K57</f>
        <v>-0.54504914</v>
      </c>
      <c r="S57" s="4">
        <f t="shared" si="56"/>
        <v>0</v>
      </c>
      <c r="T57" s="4">
        <f t="shared" si="56"/>
        <v>0.20859</v>
      </c>
      <c r="U57" s="4">
        <f t="shared" si="56"/>
        <v>0.627408667</v>
      </c>
      <c r="V57" s="4">
        <f t="shared" si="56"/>
        <v>-0.01</v>
      </c>
    </row>
    <row r="58" ht="14.25" customHeight="1">
      <c r="A58" s="3">
        <v>43831.0</v>
      </c>
      <c r="B58" s="4">
        <v>1.35854</v>
      </c>
      <c r="C58" s="2"/>
      <c r="D58" s="4">
        <v>2.14377</v>
      </c>
      <c r="E58" s="5">
        <v>2.728259667</v>
      </c>
      <c r="F58" s="6">
        <v>3.8</v>
      </c>
      <c r="G58" s="2"/>
      <c r="H58" s="2"/>
      <c r="I58" s="2"/>
      <c r="J58" s="7"/>
      <c r="K58" s="7">
        <v>4.04612807</v>
      </c>
      <c r="L58" s="2"/>
      <c r="M58" s="7">
        <v>1.92</v>
      </c>
      <c r="N58" s="7">
        <v>2.07</v>
      </c>
      <c r="O58" s="7">
        <v>3.56</v>
      </c>
      <c r="P58" s="2"/>
      <c r="Q58" s="2"/>
      <c r="R58" s="4">
        <f t="shared" ref="R58:V58" si="57">B58-K58</f>
        <v>-2.68758807</v>
      </c>
      <c r="S58" s="4">
        <f t="shared" si="57"/>
        <v>0</v>
      </c>
      <c r="T58" s="4">
        <f t="shared" si="57"/>
        <v>0.22377</v>
      </c>
      <c r="U58" s="4">
        <f t="shared" si="57"/>
        <v>0.658259667</v>
      </c>
      <c r="V58" s="4">
        <f t="shared" si="57"/>
        <v>0.24</v>
      </c>
    </row>
    <row r="59" ht="14.25" customHeight="1">
      <c r="A59" s="3">
        <v>43922.0</v>
      </c>
      <c r="B59" s="4">
        <v>-7.39861</v>
      </c>
      <c r="C59" s="2"/>
      <c r="D59" s="4">
        <v>0.40928</v>
      </c>
      <c r="E59" s="5">
        <v>2.052991333</v>
      </c>
      <c r="F59" s="6">
        <v>13.0</v>
      </c>
      <c r="G59" s="2"/>
      <c r="H59" s="2"/>
      <c r="I59" s="2"/>
      <c r="J59" s="7"/>
      <c r="K59" s="7">
        <v>-1.8147307</v>
      </c>
      <c r="L59" s="2"/>
      <c r="M59" s="7">
        <v>-2.39</v>
      </c>
      <c r="N59" s="7">
        <v>0.54</v>
      </c>
      <c r="O59" s="7">
        <v>15.81</v>
      </c>
      <c r="P59" s="2"/>
      <c r="Q59" s="2"/>
      <c r="R59" s="4">
        <f t="shared" ref="R59:V59" si="58">B59-K59</f>
        <v>-5.5838793</v>
      </c>
      <c r="S59" s="4">
        <f t="shared" si="58"/>
        <v>0</v>
      </c>
      <c r="T59" s="4">
        <f t="shared" si="58"/>
        <v>2.79928</v>
      </c>
      <c r="U59" s="4">
        <f t="shared" si="58"/>
        <v>1.512991333</v>
      </c>
      <c r="V59" s="4">
        <f t="shared" si="58"/>
        <v>-2.81</v>
      </c>
    </row>
    <row r="60" ht="14.25" customHeight="1">
      <c r="A60" s="3">
        <v>44013.0</v>
      </c>
      <c r="B60" s="4">
        <v>-1.36467</v>
      </c>
      <c r="C60" s="2"/>
      <c r="D60" s="4">
        <v>1.22314</v>
      </c>
      <c r="E60" s="5">
        <v>2.166882</v>
      </c>
      <c r="F60" s="6">
        <v>8.8</v>
      </c>
      <c r="G60" s="2"/>
      <c r="H60" s="2"/>
      <c r="I60" s="2"/>
      <c r="J60" s="7"/>
      <c r="K60" s="7">
        <v>10.1530894</v>
      </c>
      <c r="L60" s="2"/>
      <c r="M60" s="7">
        <v>1.91</v>
      </c>
      <c r="N60" s="7">
        <v>1.29</v>
      </c>
      <c r="O60" s="7">
        <v>10.21</v>
      </c>
      <c r="P60" s="2"/>
      <c r="Q60" s="2"/>
      <c r="R60" s="4">
        <f t="shared" ref="R60:V60" si="59">B60-K60</f>
        <v>-11.5177594</v>
      </c>
      <c r="S60" s="4">
        <f t="shared" si="59"/>
        <v>0</v>
      </c>
      <c r="T60" s="4">
        <f t="shared" si="59"/>
        <v>-0.68686</v>
      </c>
      <c r="U60" s="4">
        <f t="shared" si="59"/>
        <v>0.876882</v>
      </c>
      <c r="V60" s="4">
        <f t="shared" si="59"/>
        <v>-1.41</v>
      </c>
    </row>
    <row r="61" ht="14.25" customHeight="1">
      <c r="A61" s="3">
        <v>44105.0</v>
      </c>
      <c r="B61" s="4">
        <v>-0.92222</v>
      </c>
      <c r="C61" s="2"/>
      <c r="D61" s="4">
        <v>1.24227</v>
      </c>
      <c r="E61" s="5">
        <v>1.686965333</v>
      </c>
      <c r="F61" s="6">
        <v>6.8</v>
      </c>
      <c r="G61" s="2"/>
      <c r="H61" s="2"/>
      <c r="I61" s="2"/>
      <c r="J61" s="7"/>
      <c r="K61" s="7">
        <v>5.59116058</v>
      </c>
      <c r="L61" s="2"/>
      <c r="M61" s="7">
        <v>2.16</v>
      </c>
      <c r="N61" s="7">
        <v>2.07</v>
      </c>
      <c r="O61" s="7">
        <v>7.09</v>
      </c>
      <c r="P61" s="2"/>
      <c r="Q61" s="2"/>
      <c r="R61" s="4">
        <f t="shared" ref="R61:V61" si="60">B61-K61</f>
        <v>-6.51338058</v>
      </c>
      <c r="S61" s="4">
        <f t="shared" si="60"/>
        <v>0</v>
      </c>
      <c r="T61" s="4">
        <f t="shared" si="60"/>
        <v>-0.91773</v>
      </c>
      <c r="U61" s="4">
        <f t="shared" si="60"/>
        <v>-0.383034667</v>
      </c>
      <c r="V61" s="4">
        <f t="shared" si="60"/>
        <v>-0.29</v>
      </c>
    </row>
    <row r="62" ht="14.25" customHeight="1">
      <c r="A62" s="3">
        <v>44197.0</v>
      </c>
      <c r="B62" s="4">
        <v>1.80075</v>
      </c>
      <c r="C62" s="2"/>
      <c r="D62" s="4">
        <v>1.90276</v>
      </c>
      <c r="E62" s="5">
        <v>1.470972858</v>
      </c>
      <c r="F62" s="6">
        <v>6.2</v>
      </c>
      <c r="G62" s="2"/>
      <c r="H62" s="2"/>
      <c r="I62" s="2"/>
      <c r="J62" s="7"/>
      <c r="K62" s="7">
        <v>6.90613227</v>
      </c>
      <c r="L62" s="2"/>
      <c r="M62" s="7">
        <v>2.48</v>
      </c>
      <c r="N62" s="7">
        <v>1.8</v>
      </c>
      <c r="O62" s="7">
        <v>6.41</v>
      </c>
      <c r="P62" s="2"/>
      <c r="Q62" s="2"/>
      <c r="R62" s="4">
        <f t="shared" ref="R62:V62" si="61">B62-K62</f>
        <v>-5.10538227</v>
      </c>
      <c r="S62" s="4">
        <f t="shared" si="61"/>
        <v>0</v>
      </c>
      <c r="T62" s="4">
        <f t="shared" si="61"/>
        <v>-0.57724</v>
      </c>
      <c r="U62" s="4">
        <f t="shared" si="61"/>
        <v>-0.329027142</v>
      </c>
      <c r="V62" s="4">
        <f t="shared" si="61"/>
        <v>-0.21</v>
      </c>
    </row>
    <row r="63" ht="14.25" customHeight="1">
      <c r="A63" s="3">
        <v>44287.0</v>
      </c>
      <c r="B63" s="4">
        <v>12.38567</v>
      </c>
      <c r="C63" s="2"/>
      <c r="D63" s="4">
        <v>4.78296</v>
      </c>
      <c r="E63" s="5">
        <v>2.451842584</v>
      </c>
      <c r="F63" s="6">
        <v>5.9</v>
      </c>
      <c r="G63" s="2"/>
      <c r="H63" s="2"/>
      <c r="I63" s="2"/>
      <c r="J63" s="7"/>
      <c r="K63" s="7">
        <v>8.54651956</v>
      </c>
      <c r="L63" s="2"/>
      <c r="M63" s="7">
        <v>3.38</v>
      </c>
      <c r="N63" s="7">
        <v>2.69</v>
      </c>
      <c r="O63" s="7">
        <v>5.79</v>
      </c>
      <c r="P63" s="2"/>
      <c r="Q63" s="2"/>
      <c r="R63" s="4">
        <f t="shared" ref="R63:V63" si="62">B63-K63</f>
        <v>3.83915044</v>
      </c>
      <c r="S63" s="4">
        <f t="shared" si="62"/>
        <v>0</v>
      </c>
      <c r="T63" s="4">
        <f t="shared" si="62"/>
        <v>1.40296</v>
      </c>
      <c r="U63" s="4">
        <f t="shared" si="62"/>
        <v>-0.238157416</v>
      </c>
      <c r="V63" s="4">
        <f t="shared" si="62"/>
        <v>0.11</v>
      </c>
    </row>
    <row r="64" ht="14.25" customHeight="1">
      <c r="A64" s="3">
        <v>44378.0</v>
      </c>
      <c r="B64" s="4">
        <v>5.15081</v>
      </c>
      <c r="C64" s="2"/>
      <c r="D64" s="4">
        <v>5.24956</v>
      </c>
      <c r="E64" s="5">
        <v>2.412789425</v>
      </c>
      <c r="F64" s="6">
        <v>5.1</v>
      </c>
      <c r="G64" s="2"/>
      <c r="H64" s="2"/>
      <c r="I64" s="2"/>
      <c r="J64" s="7"/>
      <c r="K64" s="7">
        <v>7.96108574</v>
      </c>
      <c r="L64" s="2"/>
      <c r="M64" s="7">
        <v>5.09</v>
      </c>
      <c r="N64" s="7">
        <v>4.78</v>
      </c>
      <c r="O64" s="7">
        <v>5.32</v>
      </c>
      <c r="P64" s="2"/>
      <c r="Q64" s="2"/>
      <c r="R64" s="4">
        <f t="shared" ref="R64:V64" si="63">B64-K64</f>
        <v>-2.81027574</v>
      </c>
      <c r="S64" s="4">
        <f t="shared" si="63"/>
        <v>0</v>
      </c>
      <c r="T64" s="4">
        <f t="shared" si="63"/>
        <v>0.15956</v>
      </c>
      <c r="U64" s="4">
        <f t="shared" si="63"/>
        <v>-2.367210575</v>
      </c>
      <c r="V64" s="4">
        <f t="shared" si="63"/>
        <v>-0.22</v>
      </c>
    </row>
    <row r="65" ht="14.25" customHeight="1">
      <c r="A65" s="3">
        <v>44470.0</v>
      </c>
      <c r="B65" s="4">
        <v>5.75618</v>
      </c>
      <c r="C65" s="2"/>
      <c r="D65" s="4">
        <v>6.77144</v>
      </c>
      <c r="E65" s="5">
        <v>3.217666375</v>
      </c>
      <c r="F65" s="6">
        <v>4.2</v>
      </c>
      <c r="G65" s="2"/>
      <c r="H65" s="2"/>
      <c r="I65" s="2"/>
      <c r="J65" s="7"/>
      <c r="K65" s="7">
        <v>7.29873694</v>
      </c>
      <c r="L65" s="2"/>
      <c r="M65" s="7">
        <v>4.62</v>
      </c>
      <c r="N65" s="7">
        <v>3.34</v>
      </c>
      <c r="O65" s="7">
        <v>4.57</v>
      </c>
      <c r="P65" s="2"/>
      <c r="Q65" s="2"/>
      <c r="R65" s="4">
        <f t="shared" ref="R65:V65" si="64">B65-K65</f>
        <v>-1.54255694</v>
      </c>
      <c r="S65" s="4">
        <f t="shared" si="64"/>
        <v>0</v>
      </c>
      <c r="T65" s="4">
        <f t="shared" si="64"/>
        <v>2.15144</v>
      </c>
      <c r="U65" s="4">
        <f t="shared" si="64"/>
        <v>-0.122333625</v>
      </c>
      <c r="V65" s="4">
        <f t="shared" si="64"/>
        <v>-0.37</v>
      </c>
    </row>
    <row r="66" ht="14.25" customHeight="1">
      <c r="A66" s="3">
        <v>44562.0</v>
      </c>
      <c r="B66" s="4">
        <v>4.03458</v>
      </c>
      <c r="C66" s="2"/>
      <c r="D66" s="4">
        <v>8.02425</v>
      </c>
      <c r="E66" s="5">
        <v>4.258498781</v>
      </c>
      <c r="F66" s="6">
        <v>3.9</v>
      </c>
      <c r="G66" s="2"/>
      <c r="H66" s="2"/>
      <c r="I66" s="2"/>
      <c r="J66" s="7"/>
      <c r="K66" s="7">
        <v>6.70810935</v>
      </c>
      <c r="L66" s="2"/>
      <c r="M66" s="7">
        <v>5.52</v>
      </c>
      <c r="N66" s="7">
        <v>4.9</v>
      </c>
      <c r="O66" s="7">
        <v>3.93</v>
      </c>
      <c r="P66" s="2"/>
      <c r="Q66" s="2"/>
      <c r="R66" s="4">
        <f t="shared" ref="R66:V66" si="65">B66-K66</f>
        <v>-2.67352935</v>
      </c>
      <c r="S66" s="4">
        <f t="shared" si="65"/>
        <v>0</v>
      </c>
      <c r="T66" s="4">
        <f t="shared" si="65"/>
        <v>2.50425</v>
      </c>
      <c r="U66" s="4">
        <f t="shared" si="65"/>
        <v>-0.641501219</v>
      </c>
      <c r="V66" s="4">
        <f t="shared" si="65"/>
        <v>-0.03</v>
      </c>
    </row>
    <row r="67" ht="14.25" customHeight="1">
      <c r="A67" s="3">
        <v>44652.0</v>
      </c>
      <c r="B67" s="4">
        <v>2.45379</v>
      </c>
      <c r="C67" s="2"/>
      <c r="D67" s="4">
        <v>8.58498</v>
      </c>
      <c r="E67" s="5">
        <v>5.020272036</v>
      </c>
      <c r="F67" s="6">
        <v>3.6</v>
      </c>
      <c r="G67" s="2"/>
      <c r="H67" s="2"/>
      <c r="I67" s="2"/>
      <c r="J67" s="7"/>
      <c r="K67" s="7">
        <v>6.74121125</v>
      </c>
      <c r="L67" s="2"/>
      <c r="M67" s="7">
        <v>7.21</v>
      </c>
      <c r="N67" s="7">
        <v>5.19</v>
      </c>
      <c r="O67" s="7">
        <v>3.6</v>
      </c>
      <c r="P67" s="2"/>
      <c r="Q67" s="2"/>
      <c r="R67" s="4">
        <f t="shared" ref="R67:V67" si="66">B67-K67</f>
        <v>-4.28742125</v>
      </c>
      <c r="S67" s="4">
        <f t="shared" si="66"/>
        <v>0</v>
      </c>
      <c r="T67" s="4">
        <f t="shared" si="66"/>
        <v>1.37498</v>
      </c>
      <c r="U67" s="4">
        <f t="shared" si="66"/>
        <v>-0.169727964</v>
      </c>
      <c r="V67" s="4">
        <f t="shared" si="66"/>
        <v>0</v>
      </c>
    </row>
    <row r="68" ht="14.25" customHeight="1">
      <c r="A68" s="3">
        <v>44743.0</v>
      </c>
      <c r="B68" s="4">
        <v>2.34897</v>
      </c>
      <c r="C68" s="2"/>
      <c r="D68" s="4">
        <v>8.29211</v>
      </c>
      <c r="E68" s="5">
        <v>5.950826359</v>
      </c>
      <c r="F68" s="6">
        <v>3.5</v>
      </c>
      <c r="G68" s="2"/>
      <c r="H68" s="2"/>
      <c r="I68" s="2"/>
      <c r="J68" s="7"/>
      <c r="K68" s="7">
        <v>5.4193937</v>
      </c>
      <c r="L68" s="2"/>
      <c r="M68" s="7">
        <v>6.29</v>
      </c>
      <c r="N68" s="7">
        <v>5.7</v>
      </c>
      <c r="O68" s="7">
        <v>3.57</v>
      </c>
      <c r="P68" s="2"/>
      <c r="Q68" s="2"/>
      <c r="R68" s="4">
        <f t="shared" ref="R68:V68" si="67">B68-K68</f>
        <v>-3.0704237</v>
      </c>
      <c r="S68" s="4">
        <f t="shared" si="67"/>
        <v>0</v>
      </c>
      <c r="T68" s="4">
        <f t="shared" si="67"/>
        <v>2.00211</v>
      </c>
      <c r="U68" s="4">
        <f t="shared" si="67"/>
        <v>0.250826359</v>
      </c>
      <c r="V68" s="4">
        <f t="shared" si="67"/>
        <v>-0.07</v>
      </c>
    </row>
    <row r="69" ht="14.25" customHeight="1">
      <c r="A69" s="3">
        <v>44835.0</v>
      </c>
      <c r="B69" s="4">
        <v>1.31707</v>
      </c>
      <c r="C69" s="2"/>
      <c r="D69" s="4">
        <v>7.09195</v>
      </c>
      <c r="E69" s="5">
        <v>6.428546372</v>
      </c>
      <c r="F69" s="6">
        <v>3.6</v>
      </c>
      <c r="G69" s="2"/>
      <c r="H69" s="2"/>
      <c r="I69" s="2"/>
      <c r="J69" s="7"/>
      <c r="K69" s="7">
        <v>4.40919495</v>
      </c>
      <c r="L69" s="2"/>
      <c r="M69" s="7">
        <v>5.23</v>
      </c>
      <c r="N69" s="7">
        <v>5.37</v>
      </c>
      <c r="O69" s="7">
        <v>3.7</v>
      </c>
      <c r="P69" s="2"/>
      <c r="Q69" s="2"/>
      <c r="R69" s="4">
        <f t="shared" ref="R69:V69" si="68">B69-K69</f>
        <v>-3.09212495</v>
      </c>
      <c r="S69" s="4">
        <f t="shared" si="68"/>
        <v>0</v>
      </c>
      <c r="T69" s="4">
        <f t="shared" si="68"/>
        <v>1.86195</v>
      </c>
      <c r="U69" s="4">
        <f t="shared" si="68"/>
        <v>1.058546372</v>
      </c>
      <c r="V69" s="4">
        <f t="shared" si="68"/>
        <v>-0.1</v>
      </c>
    </row>
    <row r="70" ht="14.25" customHeight="1">
      <c r="A70" s="3">
        <v>44927.0</v>
      </c>
      <c r="B70" s="4">
        <v>2.31115</v>
      </c>
      <c r="C70" s="2"/>
      <c r="D70" s="4">
        <v>5.72985</v>
      </c>
      <c r="E70" s="5">
        <v>6.470147026</v>
      </c>
      <c r="F70" s="6">
        <v>3.5</v>
      </c>
      <c r="G70" s="2"/>
      <c r="H70" s="2"/>
      <c r="I70" s="2"/>
      <c r="J70" s="7"/>
      <c r="K70" s="7">
        <v>3.59232669</v>
      </c>
      <c r="L70" s="2"/>
      <c r="M70" s="7">
        <v>3.34</v>
      </c>
      <c r="N70" s="7">
        <v>3.87</v>
      </c>
      <c r="O70" s="7">
        <v>3.59</v>
      </c>
      <c r="P70" s="2"/>
      <c r="Q70" s="2"/>
      <c r="R70" s="4">
        <f t="shared" ref="R70:V70" si="69">B70-K70</f>
        <v>-1.28117669</v>
      </c>
      <c r="S70" s="4">
        <f t="shared" si="69"/>
        <v>0</v>
      </c>
      <c r="T70" s="4">
        <f t="shared" si="69"/>
        <v>2.38985</v>
      </c>
      <c r="U70" s="4">
        <f t="shared" si="69"/>
        <v>2.600147026</v>
      </c>
      <c r="V70" s="4">
        <f t="shared" si="69"/>
        <v>-0.09</v>
      </c>
    </row>
    <row r="71" ht="14.25" customHeight="1">
      <c r="A71" s="3">
        <v>45017.0</v>
      </c>
      <c r="B71" s="4">
        <v>2.79261</v>
      </c>
      <c r="C71" s="2"/>
      <c r="D71" s="4">
        <v>4.04394</v>
      </c>
      <c r="E71" s="5">
        <v>5.941360414</v>
      </c>
      <c r="F71" s="6">
        <v>3.5</v>
      </c>
      <c r="G71" s="2"/>
      <c r="H71" s="2"/>
      <c r="I71" s="2"/>
      <c r="J71" s="7"/>
      <c r="K71" s="7">
        <v>3.57084052</v>
      </c>
      <c r="L71" s="2"/>
      <c r="M71" s="7">
        <v>3.47</v>
      </c>
      <c r="N71" s="7">
        <v>4.41</v>
      </c>
      <c r="O71" s="7">
        <v>3.6</v>
      </c>
      <c r="P71" s="2"/>
      <c r="Q71" s="2"/>
      <c r="R71" s="4">
        <f t="shared" ref="R71:V71" si="70">B71-K71</f>
        <v>-0.77823052</v>
      </c>
      <c r="S71" s="4">
        <f t="shared" si="70"/>
        <v>0</v>
      </c>
      <c r="T71" s="4">
        <f t="shared" si="70"/>
        <v>0.57394</v>
      </c>
      <c r="U71" s="4">
        <f t="shared" si="70"/>
        <v>1.531360414</v>
      </c>
      <c r="V71" s="4">
        <f t="shared" si="70"/>
        <v>-0.1</v>
      </c>
    </row>
    <row r="72" ht="14.25" customHeight="1">
      <c r="A72" s="3">
        <v>45108.0</v>
      </c>
      <c r="B72" s="4">
        <v>3.23319</v>
      </c>
      <c r="C72" s="2"/>
      <c r="D72" s="4">
        <v>3.56605</v>
      </c>
      <c r="E72" s="5">
        <v>5.168161782</v>
      </c>
      <c r="F72" s="6">
        <v>3.6</v>
      </c>
      <c r="G72" s="2"/>
      <c r="H72" s="2"/>
      <c r="I72" s="2"/>
      <c r="J72" s="7"/>
      <c r="K72" s="7">
        <v>3.994887</v>
      </c>
      <c r="L72" s="2"/>
      <c r="M72" s="7">
        <v>3.07</v>
      </c>
      <c r="N72" s="7">
        <v>3.47</v>
      </c>
      <c r="O72" s="7">
        <v>3.61</v>
      </c>
      <c r="P72" s="2"/>
      <c r="Q72" s="2"/>
      <c r="R72" s="4">
        <f t="shared" ref="R72:V72" si="71">B72-K72</f>
        <v>-0.761697</v>
      </c>
      <c r="S72" s="4">
        <f t="shared" si="71"/>
        <v>0</v>
      </c>
      <c r="T72" s="4">
        <f t="shared" si="71"/>
        <v>0.49605</v>
      </c>
      <c r="U72" s="4">
        <f t="shared" si="71"/>
        <v>1.698161782</v>
      </c>
      <c r="V72" s="4">
        <f t="shared" si="71"/>
        <v>-0.01</v>
      </c>
    </row>
    <row r="73" ht="14.25" customHeight="1">
      <c r="A73" s="3">
        <v>45200.0</v>
      </c>
      <c r="B73" s="4">
        <v>3.39089</v>
      </c>
      <c r="C73" s="2"/>
      <c r="D73" s="4">
        <v>3.2335</v>
      </c>
      <c r="E73" s="5">
        <v>4.714272364</v>
      </c>
      <c r="F73" s="6">
        <v>3.8</v>
      </c>
      <c r="G73" s="2"/>
      <c r="H73" s="2"/>
      <c r="I73" s="2"/>
      <c r="J73" s="7"/>
      <c r="K73" s="7">
        <v>4.2112337</v>
      </c>
      <c r="L73" s="2"/>
      <c r="M73" s="7">
        <v>3.16</v>
      </c>
      <c r="N73" s="7">
        <v>3.06</v>
      </c>
      <c r="O73" s="7">
        <v>3.84</v>
      </c>
      <c r="P73" s="2"/>
      <c r="Q73" s="2"/>
      <c r="R73" s="4">
        <f t="shared" ref="R73:V73" si="72">B73-K73</f>
        <v>-0.8203437</v>
      </c>
      <c r="S73" s="4">
        <f t="shared" si="72"/>
        <v>0</v>
      </c>
      <c r="T73" s="4">
        <f t="shared" si="72"/>
        <v>0.0735</v>
      </c>
      <c r="U73" s="4">
        <f t="shared" si="72"/>
        <v>1.654272364</v>
      </c>
      <c r="V73" s="4">
        <f t="shared" si="72"/>
        <v>-0.04</v>
      </c>
    </row>
    <row r="74" ht="14.25" customHeight="1">
      <c r="A74" s="3">
        <v>45292.0</v>
      </c>
      <c r="B74" s="4">
        <v>2.86329</v>
      </c>
      <c r="C74" s="2"/>
      <c r="D74" s="4">
        <v>3.24436</v>
      </c>
      <c r="E74" s="5">
        <v>4.508703317</v>
      </c>
      <c r="F74" s="6">
        <v>3.8</v>
      </c>
      <c r="G74" s="2"/>
      <c r="H74" s="2"/>
      <c r="I74" s="2"/>
      <c r="J74" s="7"/>
      <c r="K74" s="7">
        <v>4.10175862</v>
      </c>
      <c r="L74" s="2"/>
      <c r="M74" s="7">
        <v>2.53</v>
      </c>
      <c r="N74" s="7">
        <v>3.0</v>
      </c>
      <c r="O74" s="7">
        <v>3.78</v>
      </c>
      <c r="P74" s="2"/>
      <c r="Q74" s="2"/>
      <c r="R74" s="4">
        <f t="shared" ref="R74:V74" si="73">B74-K74</f>
        <v>-1.23846862</v>
      </c>
      <c r="S74" s="4">
        <f t="shared" si="73"/>
        <v>0</v>
      </c>
      <c r="T74" s="4">
        <f t="shared" si="73"/>
        <v>0.71436</v>
      </c>
      <c r="U74" s="4">
        <f t="shared" si="73"/>
        <v>1.508703317</v>
      </c>
      <c r="V74" s="4">
        <f t="shared" si="73"/>
        <v>0.02</v>
      </c>
    </row>
    <row r="75" ht="14.25" customHeight="1">
      <c r="A75" s="3">
        <v>45383.0</v>
      </c>
      <c r="B75" s="4">
        <v>3.12663</v>
      </c>
      <c r="C75" s="2"/>
      <c r="D75" s="4">
        <v>3.19152</v>
      </c>
      <c r="E75" s="5">
        <v>4.321644599</v>
      </c>
      <c r="F75" s="6">
        <v>4.0</v>
      </c>
      <c r="G75" s="2"/>
      <c r="H75" s="2"/>
      <c r="I75" s="2"/>
      <c r="J75" s="7"/>
      <c r="K75" s="7">
        <v>4.5326838</v>
      </c>
      <c r="L75" s="2"/>
      <c r="M75" s="7">
        <v>3.59</v>
      </c>
      <c r="N75" s="7">
        <v>3.51</v>
      </c>
      <c r="O75" s="7">
        <v>3.9</v>
      </c>
      <c r="P75" s="2"/>
      <c r="Q75" s="2"/>
      <c r="R75" s="4">
        <f t="shared" ref="R75:V75" si="74">B75-K75</f>
        <v>-1.4060538</v>
      </c>
      <c r="S75" s="4">
        <f t="shared" si="74"/>
        <v>0</v>
      </c>
      <c r="T75" s="4">
        <f t="shared" si="74"/>
        <v>-0.39848</v>
      </c>
      <c r="U75" s="4">
        <f t="shared" si="74"/>
        <v>0.811644599</v>
      </c>
      <c r="V75" s="4">
        <f t="shared" si="74"/>
        <v>0.1</v>
      </c>
    </row>
    <row r="76" ht="14.25" customHeight="1">
      <c r="A76" s="3">
        <v>45474.0</v>
      </c>
      <c r="B76" s="4">
        <v>2.79139</v>
      </c>
      <c r="C76" s="2"/>
      <c r="D76" s="4">
        <v>2.65761</v>
      </c>
      <c r="E76" s="5">
        <v>4.101889827</v>
      </c>
      <c r="F76" s="6">
        <v>4.2</v>
      </c>
      <c r="G76" s="2"/>
      <c r="H76" s="2"/>
      <c r="I76" s="2"/>
      <c r="J76" s="7"/>
      <c r="K76" s="7">
        <v>4.19746868</v>
      </c>
      <c r="L76" s="2"/>
      <c r="M76" s="7">
        <v>2.16</v>
      </c>
      <c r="N76" s="7">
        <v>2.63</v>
      </c>
      <c r="O76" s="7">
        <v>4.21</v>
      </c>
      <c r="P76" s="2"/>
      <c r="Q76" s="2"/>
      <c r="R76" s="4">
        <f t="shared" ref="R76:V76" si="75">B76-K76</f>
        <v>-1.40607868</v>
      </c>
      <c r="S76" s="4">
        <f t="shared" si="75"/>
        <v>0</v>
      </c>
      <c r="T76" s="4">
        <f t="shared" si="75"/>
        <v>0.49761</v>
      </c>
      <c r="U76" s="4">
        <f t="shared" si="75"/>
        <v>1.471889827</v>
      </c>
      <c r="V76" s="4">
        <f t="shared" si="75"/>
        <v>-0.01</v>
      </c>
    </row>
    <row r="77" ht="14.25" customHeight="1">
      <c r="A77" s="3">
        <v>45566.0</v>
      </c>
      <c r="B77" s="4">
        <v>2.39979</v>
      </c>
      <c r="C77" s="2"/>
      <c r="D77" s="4">
        <v>2.72317</v>
      </c>
      <c r="E77" s="5">
        <v>3.872992325</v>
      </c>
      <c r="F77" s="6">
        <v>4.1</v>
      </c>
      <c r="G77" s="2"/>
      <c r="H77" s="2"/>
      <c r="I77" s="2"/>
      <c r="J77" s="7"/>
      <c r="K77" s="7">
        <v>4.50991416</v>
      </c>
      <c r="L77" s="2"/>
      <c r="M77" s="7">
        <v>2.21</v>
      </c>
      <c r="N77" s="7">
        <v>2.81</v>
      </c>
      <c r="O77" s="7">
        <v>4.19</v>
      </c>
      <c r="P77" s="2"/>
      <c r="Q77" s="2"/>
      <c r="R77" s="4">
        <f t="shared" ref="R77:V77" si="76">B77-K77</f>
        <v>-2.11012416</v>
      </c>
      <c r="S77" s="4">
        <f t="shared" si="76"/>
        <v>0</v>
      </c>
      <c r="T77" s="4">
        <f t="shared" si="76"/>
        <v>0.51317</v>
      </c>
      <c r="U77" s="4">
        <f t="shared" si="76"/>
        <v>1.062992325</v>
      </c>
      <c r="V77" s="4">
        <f t="shared" si="76"/>
        <v>-0.09</v>
      </c>
    </row>
    <row r="78" ht="14.25" customHeight="1">
      <c r="A78" s="3">
        <v>45658.0</v>
      </c>
      <c r="B78" s="4">
        <v>2.01927</v>
      </c>
      <c r="C78" s="2"/>
      <c r="D78" s="4">
        <v>2.72398</v>
      </c>
      <c r="E78" s="5">
        <v>3.470512511</v>
      </c>
      <c r="F78" s="6">
        <v>4.1</v>
      </c>
      <c r="G78" s="2"/>
      <c r="H78" s="2"/>
      <c r="I78" s="2"/>
      <c r="J78" s="7"/>
      <c r="K78" s="7">
        <v>4.86543778</v>
      </c>
      <c r="L78" s="2"/>
      <c r="M78" s="7">
        <v>3.02</v>
      </c>
      <c r="N78" s="7">
        <v>2.97</v>
      </c>
      <c r="O78" s="7">
        <v>4.12</v>
      </c>
      <c r="P78" s="2"/>
      <c r="Q78" s="2"/>
      <c r="R78" s="4">
        <f t="shared" ref="R78:V78" si="77">B78-K78</f>
        <v>-2.84616778</v>
      </c>
      <c r="S78" s="4">
        <f t="shared" si="77"/>
        <v>0</v>
      </c>
      <c r="T78" s="4">
        <f t="shared" si="77"/>
        <v>-0.29602</v>
      </c>
      <c r="U78" s="4">
        <f t="shared" si="77"/>
        <v>0.500512511</v>
      </c>
      <c r="V78" s="4">
        <f t="shared" si="77"/>
        <v>-0.02</v>
      </c>
    </row>
    <row r="79" ht="14.25" customHeight="1">
      <c r="A79" s="3">
        <v>45748.0</v>
      </c>
      <c r="B79" s="4">
        <v>2.08047</v>
      </c>
      <c r="C79" s="2"/>
      <c r="D79" s="4">
        <v>2.46103</v>
      </c>
      <c r="E79" s="5">
        <v>3.216222504</v>
      </c>
      <c r="F79" s="6">
        <v>4.2</v>
      </c>
      <c r="G79" s="2"/>
      <c r="H79" s="2"/>
      <c r="I79" s="2"/>
      <c r="J79" s="7"/>
      <c r="K79" s="7">
        <v>4.36054703</v>
      </c>
      <c r="L79" s="2"/>
      <c r="M79" s="7">
        <v>3.13</v>
      </c>
      <c r="N79" s="7">
        <v>3.54</v>
      </c>
      <c r="O79" s="7">
        <v>4.22</v>
      </c>
      <c r="P79" s="2"/>
      <c r="Q79" s="2"/>
      <c r="R79" s="4">
        <f t="shared" ref="R79:V79" si="78">B79-K79</f>
        <v>-2.28007703</v>
      </c>
      <c r="S79" s="4">
        <f t="shared" si="78"/>
        <v>0</v>
      </c>
      <c r="T79" s="4">
        <f t="shared" si="78"/>
        <v>-0.66897</v>
      </c>
      <c r="U79" s="4">
        <f t="shared" si="78"/>
        <v>-0.323777496</v>
      </c>
      <c r="V79" s="4">
        <f t="shared" si="78"/>
        <v>-0.02</v>
      </c>
    </row>
    <row r="80" ht="14.25" customHeight="1">
      <c r="A80" s="3">
        <v>45839.0</v>
      </c>
      <c r="B80" s="4">
        <v>2.33517</v>
      </c>
      <c r="C80" s="2"/>
      <c r="D80" s="4">
        <v>2.90143</v>
      </c>
      <c r="E80" s="5">
        <v>3.393395611</v>
      </c>
      <c r="F80" s="6">
        <v>4.3</v>
      </c>
      <c r="G80" s="2"/>
      <c r="H80" s="2"/>
      <c r="I80" s="2"/>
      <c r="J80" s="7"/>
      <c r="K80" s="7">
        <v>4.2124982</v>
      </c>
      <c r="L80" s="2"/>
      <c r="M80" s="7">
        <v>2.91</v>
      </c>
      <c r="N80" s="7">
        <v>3.02</v>
      </c>
      <c r="O80" s="7">
        <v>4.28</v>
      </c>
      <c r="P80" s="2"/>
      <c r="Q80" s="2"/>
      <c r="R80" s="4">
        <f t="shared" ref="R80:V80" si="79">B80-K80</f>
        <v>-1.8773282</v>
      </c>
      <c r="S80" s="4">
        <f t="shared" si="79"/>
        <v>0</v>
      </c>
      <c r="T80" s="4">
        <f t="shared" si="79"/>
        <v>-0.00857</v>
      </c>
      <c r="U80" s="4">
        <f t="shared" si="79"/>
        <v>0.373395611</v>
      </c>
      <c r="V80" s="4">
        <f t="shared" si="79"/>
        <v>0.02</v>
      </c>
    </row>
    <row r="81" ht="14.25" customHeight="1">
      <c r="A81" s="3">
        <v>45931.0</v>
      </c>
      <c r="B81" s="4">
        <v>2.03257</v>
      </c>
      <c r="C81" s="2"/>
      <c r="D81" s="4">
        <v>2.82997</v>
      </c>
      <c r="E81" s="5">
        <v>3.012987073</v>
      </c>
      <c r="F81" s="6">
        <v>4.5</v>
      </c>
      <c r="G81" s="2"/>
      <c r="H81" s="2"/>
      <c r="I81" s="2"/>
      <c r="J81" s="7"/>
      <c r="K81" s="7">
        <v>4.33849451</v>
      </c>
      <c r="L81" s="2"/>
      <c r="M81" s="7">
        <v>3.07</v>
      </c>
      <c r="N81" s="7">
        <v>3.17</v>
      </c>
      <c r="O81" s="7">
        <v>4.4</v>
      </c>
      <c r="P81" s="2"/>
      <c r="Q81" s="2"/>
      <c r="R81" s="4">
        <f t="shared" ref="R81:V81" si="80">B81-K81</f>
        <v>-2.30592451</v>
      </c>
      <c r="S81" s="4">
        <f t="shared" si="80"/>
        <v>0</v>
      </c>
      <c r="T81" s="4">
        <f t="shared" si="80"/>
        <v>-0.24003</v>
      </c>
      <c r="U81" s="4">
        <f t="shared" si="80"/>
        <v>-0.157012927</v>
      </c>
      <c r="V81" s="4">
        <f t="shared" si="80"/>
        <v>0.1</v>
      </c>
    </row>
    <row r="82" ht="14.25" customHeight="1">
      <c r="A82" s="3">
        <v>46023.0</v>
      </c>
      <c r="B82" s="2"/>
      <c r="C82" s="2"/>
      <c r="D82" s="2"/>
      <c r="E82" s="2"/>
      <c r="F82" s="2"/>
      <c r="G82" s="2"/>
      <c r="H82" s="2"/>
      <c r="I82" s="2"/>
      <c r="J82" s="7"/>
      <c r="K82" s="7">
        <v>4.99265605</v>
      </c>
      <c r="L82" s="2"/>
      <c r="M82" s="7">
        <v>2.69</v>
      </c>
      <c r="N82" s="7">
        <v>2.72</v>
      </c>
      <c r="O82" s="7">
        <v>4.42</v>
      </c>
      <c r="P82" s="2"/>
      <c r="Q82" s="2"/>
      <c r="R82" s="4">
        <f t="shared" ref="R82:V82" si="81">B82-K82</f>
        <v>-4.99265605</v>
      </c>
      <c r="S82" s="4">
        <f t="shared" si="81"/>
        <v>0</v>
      </c>
      <c r="T82" s="4">
        <f t="shared" si="81"/>
        <v>-2.69</v>
      </c>
      <c r="U82" s="4">
        <f t="shared" si="81"/>
        <v>-2.72</v>
      </c>
      <c r="V82" s="4">
        <f t="shared" si="81"/>
        <v>-4.42</v>
      </c>
    </row>
    <row r="83" ht="14.25" customHeight="1">
      <c r="A83" s="3">
        <v>46113.0</v>
      </c>
      <c r="B83" s="2"/>
      <c r="C83" s="2"/>
      <c r="D83" s="2"/>
      <c r="E83" s="2"/>
      <c r="F83" s="2"/>
      <c r="G83" s="2"/>
      <c r="H83" s="2"/>
      <c r="I83" s="2"/>
      <c r="J83" s="2"/>
      <c r="K83" s="2"/>
      <c r="L83" s="2"/>
      <c r="M83" s="2"/>
      <c r="N83" s="2"/>
      <c r="O83" s="2"/>
      <c r="P83" s="2"/>
      <c r="Q83" s="2"/>
      <c r="R83" s="2"/>
      <c r="S83" s="2"/>
      <c r="T83" s="2"/>
      <c r="U83" s="2"/>
      <c r="V83" s="2"/>
    </row>
    <row r="84" ht="14.25" customHeight="1">
      <c r="A84" s="3">
        <v>46204.0</v>
      </c>
      <c r="B84" s="2"/>
      <c r="C84" s="2"/>
      <c r="D84" s="2"/>
      <c r="E84" s="2"/>
      <c r="F84" s="2"/>
      <c r="G84" s="2"/>
      <c r="H84" s="2"/>
      <c r="I84" s="2"/>
      <c r="J84" s="2"/>
      <c r="K84" s="2"/>
      <c r="L84" s="2"/>
      <c r="M84" s="2"/>
      <c r="N84" s="2"/>
      <c r="O84" s="2"/>
      <c r="P84" s="2"/>
      <c r="Q84" s="2"/>
      <c r="R84" s="2"/>
      <c r="S84" s="2"/>
      <c r="T84" s="2"/>
      <c r="U84" s="2"/>
      <c r="V84" s="2"/>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8.0"/>
    <col customWidth="1" min="3" max="4" width="8.63"/>
    <col customWidth="1" min="5" max="5" width="9.0"/>
    <col customWidth="1" min="6" max="6" width="21.13"/>
    <col customWidth="1" min="7" max="7" width="16.0"/>
    <col customWidth="1" min="8" max="8" width="8.63"/>
    <col customWidth="1" min="9" max="9" width="9.0"/>
    <col customWidth="1" min="10" max="10" width="26.0"/>
    <col customWidth="1" min="11" max="11" width="10.75"/>
    <col customWidth="1" min="12" max="26" width="8.63"/>
  </cols>
  <sheetData>
    <row r="1" ht="14.25" customHeight="1"/>
    <row r="2" ht="14.25" customHeight="1">
      <c r="B2" s="2"/>
      <c r="C2" s="2"/>
      <c r="D2" s="2"/>
      <c r="E2" s="2"/>
      <c r="F2" s="2"/>
      <c r="G2" s="2"/>
      <c r="H2" s="2"/>
      <c r="I2" s="2"/>
      <c r="J2" s="2"/>
      <c r="K2" s="2"/>
    </row>
    <row r="3" ht="14.25" customHeight="1">
      <c r="B3" s="9" t="s">
        <v>12</v>
      </c>
      <c r="C3" s="10"/>
      <c r="D3" s="2"/>
      <c r="E3" s="2"/>
      <c r="F3" s="9" t="s">
        <v>13</v>
      </c>
      <c r="G3" s="10"/>
      <c r="H3" s="2"/>
      <c r="I3" s="2"/>
      <c r="J3" s="9" t="s">
        <v>14</v>
      </c>
      <c r="K3" s="10"/>
    </row>
    <row r="4" ht="14.25" customHeight="1">
      <c r="B4" s="11"/>
      <c r="C4" s="12"/>
      <c r="D4" s="2"/>
      <c r="E4" s="2"/>
      <c r="F4" s="13"/>
      <c r="G4" s="12"/>
      <c r="H4" s="2"/>
      <c r="I4" s="2"/>
      <c r="J4" s="13"/>
      <c r="K4" s="12"/>
    </row>
    <row r="5" ht="14.25" customHeight="1">
      <c r="B5" s="11" t="s">
        <v>15</v>
      </c>
      <c r="C5" s="12">
        <f>(((C7-C8)/C9)*C38)</f>
        <v>-0.4180228948</v>
      </c>
      <c r="D5" s="2"/>
      <c r="E5" s="2"/>
      <c r="F5" s="11" t="s">
        <v>16</v>
      </c>
      <c r="G5" s="12">
        <f>((G7-G8)/G9)*G38</f>
        <v>0.06327629094</v>
      </c>
      <c r="H5" s="2"/>
      <c r="I5" s="2"/>
      <c r="J5" s="11" t="s">
        <v>17</v>
      </c>
      <c r="K5" s="12">
        <f>(((K7-K8)/K9)*K38)</f>
        <v>0.6360111534</v>
      </c>
    </row>
    <row r="6" ht="14.25" customHeight="1">
      <c r="B6" s="13"/>
      <c r="C6" s="12"/>
      <c r="D6" s="2"/>
      <c r="E6" s="2"/>
      <c r="F6" s="13"/>
      <c r="G6" s="12"/>
      <c r="H6" s="2"/>
      <c r="I6" s="2"/>
      <c r="J6" s="13"/>
      <c r="K6" s="12"/>
    </row>
    <row r="7" ht="14.25" customHeight="1">
      <c r="B7" s="13" t="s">
        <v>18</v>
      </c>
      <c r="C7" s="12">
        <v>1.10765</v>
      </c>
      <c r="D7" s="2"/>
      <c r="E7" s="2"/>
      <c r="F7" s="13" t="s">
        <v>19</v>
      </c>
      <c r="G7" s="12">
        <v>2.434</v>
      </c>
      <c r="H7" s="2"/>
      <c r="I7" s="2"/>
      <c r="J7" s="13" t="s">
        <v>20</v>
      </c>
      <c r="K7" s="12">
        <v>4.4</v>
      </c>
    </row>
    <row r="8" ht="14.25" customHeight="1">
      <c r="B8" s="13" t="s">
        <v>21</v>
      </c>
      <c r="C8" s="14">
        <f>AVERAGE('US Macro Data'!B2:B81)</f>
        <v>2.044950125</v>
      </c>
      <c r="D8" s="2"/>
      <c r="E8" s="2"/>
      <c r="F8" s="13" t="s">
        <v>21</v>
      </c>
      <c r="G8" s="14">
        <f>AVERAGE('US Macro Data'!D2:D81)</f>
        <v>2.553926625</v>
      </c>
      <c r="H8" s="2"/>
      <c r="I8" s="2"/>
      <c r="J8" s="13" t="s">
        <v>21</v>
      </c>
      <c r="K8" s="15">
        <f>AVERAGE('US Macro Data'!F2:F81)</f>
        <v>5.77125</v>
      </c>
    </row>
    <row r="9" ht="14.25" customHeight="1">
      <c r="B9" s="13" t="s">
        <v>22</v>
      </c>
      <c r="C9" s="12">
        <f>_xlfn.STDEV.S('US Macro Data'!B2:B81)</f>
        <v>2.242221985</v>
      </c>
      <c r="D9" s="2"/>
      <c r="E9" s="2"/>
      <c r="F9" s="13" t="s">
        <v>22</v>
      </c>
      <c r="G9" s="12">
        <f>_xlfn.STDEV.S('US Macro Data'!D2:D81)</f>
        <v>1.895285315</v>
      </c>
      <c r="H9" s="2"/>
      <c r="I9" s="2"/>
      <c r="J9" s="13" t="s">
        <v>22</v>
      </c>
      <c r="K9" s="12">
        <f>_xlfn.STDEV.S('US Macro Data'!F2:F81)</f>
        <v>2.15601565</v>
      </c>
    </row>
    <row r="10" ht="14.25" customHeight="1">
      <c r="B10" s="13"/>
      <c r="C10" s="12"/>
      <c r="D10" s="2"/>
      <c r="E10" s="2"/>
      <c r="F10" s="13"/>
      <c r="G10" s="12"/>
      <c r="H10" s="2"/>
      <c r="I10" s="2"/>
      <c r="J10" s="13"/>
      <c r="K10" s="12"/>
    </row>
    <row r="11" ht="14.25" customHeight="1">
      <c r="B11" s="11" t="s">
        <v>23</v>
      </c>
      <c r="C11" s="12"/>
      <c r="D11" s="2"/>
      <c r="E11" s="2"/>
      <c r="F11" s="11" t="s">
        <v>24</v>
      </c>
      <c r="G11" s="12">
        <f>(((G13-G14)/G15)*G38)</f>
        <v>-0.1789938397</v>
      </c>
      <c r="H11" s="2"/>
      <c r="I11" s="2"/>
      <c r="J11" s="13"/>
      <c r="K11" s="12"/>
    </row>
    <row r="12" ht="14.25" customHeight="1">
      <c r="B12" s="13"/>
      <c r="C12" s="12"/>
      <c r="D12" s="2"/>
      <c r="E12" s="2"/>
      <c r="F12" s="13"/>
      <c r="G12" s="12"/>
      <c r="H12" s="2"/>
      <c r="I12" s="2"/>
      <c r="J12" s="13"/>
      <c r="K12" s="12"/>
    </row>
    <row r="13" ht="14.25" customHeight="1">
      <c r="B13" s="13" t="s">
        <v>25</v>
      </c>
      <c r="C13" s="12">
        <v>52.7</v>
      </c>
      <c r="D13" s="2"/>
      <c r="E13" s="2"/>
      <c r="F13" s="13" t="s">
        <v>26</v>
      </c>
      <c r="G13" s="12">
        <v>2.90391</v>
      </c>
      <c r="H13" s="2"/>
      <c r="I13" s="2"/>
      <c r="J13" s="11"/>
      <c r="K13" s="12"/>
    </row>
    <row r="14" ht="14.25" customHeight="1">
      <c r="B14" s="13" t="s">
        <v>21</v>
      </c>
      <c r="C14" s="12" t="str">
        <f>AVERAGE('US Macro Data'!C2:C81)</f>
        <v>#DIV/0!</v>
      </c>
      <c r="D14" s="2"/>
      <c r="E14" s="2"/>
      <c r="F14" s="13" t="s">
        <v>21</v>
      </c>
      <c r="G14" s="16">
        <f>AVERAGE('US Macro Data'!E2:E81)</f>
        <v>2.688588933</v>
      </c>
      <c r="H14" s="2"/>
      <c r="I14" s="2"/>
      <c r="J14" s="13"/>
      <c r="K14" s="12"/>
    </row>
    <row r="15" ht="14.25" customHeight="1">
      <c r="B15" s="13" t="s">
        <v>22</v>
      </c>
      <c r="C15" s="12" t="str">
        <f>_xlfn.STDEV.S('US Macro Data'!C2:C81)</f>
        <v>#DIV/0!</v>
      </c>
      <c r="D15" s="2"/>
      <c r="E15" s="2"/>
      <c r="F15" s="13" t="s">
        <v>22</v>
      </c>
      <c r="G15" s="12">
        <f>_xlfn.STDEV.S('US Macro Data'!E2:E81)</f>
        <v>1.202952391</v>
      </c>
      <c r="H15" s="2"/>
      <c r="I15" s="2"/>
      <c r="J15" s="13"/>
      <c r="K15" s="12"/>
    </row>
    <row r="16" ht="14.25" customHeight="1">
      <c r="B16" s="13"/>
      <c r="C16" s="12"/>
      <c r="D16" s="2"/>
      <c r="E16" s="2"/>
      <c r="F16" s="13"/>
      <c r="G16" s="12"/>
      <c r="H16" s="2"/>
      <c r="I16" s="2"/>
      <c r="J16" s="13"/>
      <c r="K16" s="12"/>
    </row>
    <row r="17" ht="14.25" customHeight="1">
      <c r="B17" s="11" t="s">
        <v>27</v>
      </c>
      <c r="C17" s="12">
        <f>((C20-C21)/C22)*C38</f>
        <v>-0.89461986</v>
      </c>
      <c r="D17" s="2"/>
      <c r="E17" s="2"/>
      <c r="F17" s="11" t="s">
        <v>28</v>
      </c>
      <c r="G17" s="12">
        <f>((G20-G21)/G22)*G38</f>
        <v>0.2938355487</v>
      </c>
      <c r="H17" s="2"/>
      <c r="I17" s="2"/>
      <c r="J17" s="11" t="s">
        <v>29</v>
      </c>
      <c r="K17" s="12">
        <f>(((K20-K21)/K22))</f>
        <v>0.2100918773</v>
      </c>
    </row>
    <row r="18" ht="14.25" customHeight="1">
      <c r="B18" s="13"/>
      <c r="C18" s="12"/>
      <c r="D18" s="2"/>
      <c r="E18" s="2"/>
      <c r="F18" s="13"/>
      <c r="G18" s="12"/>
      <c r="H18" s="2"/>
      <c r="I18" s="2"/>
      <c r="J18" s="13"/>
      <c r="K18" s="12"/>
    </row>
    <row r="19" ht="14.25" customHeight="1">
      <c r="B19" s="13" t="s">
        <v>30</v>
      </c>
      <c r="C19" s="12">
        <v>4.99265605</v>
      </c>
      <c r="D19" s="2"/>
      <c r="E19" s="2"/>
      <c r="F19" s="13" t="s">
        <v>31</v>
      </c>
      <c r="G19" s="12">
        <v>2.69</v>
      </c>
      <c r="H19" s="2"/>
      <c r="I19" s="2"/>
      <c r="J19" s="13" t="s">
        <v>32</v>
      </c>
      <c r="K19" s="12">
        <v>4.42</v>
      </c>
    </row>
    <row r="20" ht="14.25" customHeight="1">
      <c r="A20" s="2"/>
      <c r="B20" s="13" t="s">
        <v>33</v>
      </c>
      <c r="C20" s="12">
        <f>C7-C19</f>
        <v>-3.88500605</v>
      </c>
      <c r="D20" s="2"/>
      <c r="E20" s="2"/>
      <c r="F20" s="13" t="s">
        <v>34</v>
      </c>
      <c r="G20" s="12">
        <f>G7-G19</f>
        <v>-0.256</v>
      </c>
      <c r="H20" s="2"/>
      <c r="I20" s="2"/>
      <c r="J20" s="13" t="s">
        <v>35</v>
      </c>
      <c r="K20" s="12">
        <f>K7-K19</f>
        <v>-0.02</v>
      </c>
      <c r="L20" s="2"/>
      <c r="M20" s="2"/>
      <c r="N20" s="2"/>
      <c r="O20" s="2"/>
      <c r="P20" s="2"/>
      <c r="Q20" s="2"/>
      <c r="R20" s="2"/>
      <c r="S20" s="2"/>
      <c r="T20" s="2"/>
      <c r="U20" s="2"/>
      <c r="V20" s="2"/>
      <c r="W20" s="2"/>
      <c r="X20" s="2"/>
      <c r="Y20" s="2"/>
      <c r="Z20" s="2"/>
    </row>
    <row r="21" ht="14.25" customHeight="1">
      <c r="B21" s="13" t="s">
        <v>36</v>
      </c>
      <c r="C21" s="14">
        <f>AVERAGE('US Macro Data'!R2:R82)</f>
        <v>-2.569014473</v>
      </c>
      <c r="D21" s="2"/>
      <c r="E21" s="2"/>
      <c r="F21" s="13" t="s">
        <v>36</v>
      </c>
      <c r="G21" s="14">
        <f>AVERAGE('US Macro Data'!T2:T82)</f>
        <v>0.2105448148</v>
      </c>
      <c r="H21" s="2"/>
      <c r="I21" s="2"/>
      <c r="J21" s="13" t="s">
        <v>37</v>
      </c>
      <c r="K21" s="14">
        <f>AVERAGE('US Macro Data'!V2:V82)</f>
        <v>-0.1479012346</v>
      </c>
    </row>
    <row r="22" ht="14.25" customHeight="1">
      <c r="B22" s="13" t="s">
        <v>38</v>
      </c>
      <c r="C22" s="12">
        <f>_xlfn.STDEV.S('US Macro Data'!K2:K82)</f>
        <v>1.471006442</v>
      </c>
      <c r="D22" s="2"/>
      <c r="E22" s="2"/>
      <c r="F22" s="13" t="s">
        <v>38</v>
      </c>
      <c r="G22" s="12">
        <f>_xlfn.STDEV.S('US Macro Data'!M2:M82)</f>
        <v>1.58777526</v>
      </c>
      <c r="H22" s="2"/>
      <c r="I22" s="2"/>
      <c r="J22" s="13" t="s">
        <v>38</v>
      </c>
      <c r="K22" s="12">
        <f>_xlfn.STDEV.S('US Macro Data'!V2:V82)</f>
        <v>0.6087871468</v>
      </c>
    </row>
    <row r="23" ht="14.25" customHeight="1">
      <c r="B23" s="13"/>
      <c r="C23" s="12"/>
      <c r="D23" s="2"/>
      <c r="E23" s="2"/>
      <c r="F23" s="13"/>
      <c r="G23" s="12"/>
      <c r="H23" s="2"/>
      <c r="I23" s="2"/>
      <c r="J23" s="13"/>
      <c r="K23" s="12"/>
    </row>
    <row r="24" ht="14.25" customHeight="1">
      <c r="B24" s="11" t="s">
        <v>39</v>
      </c>
      <c r="C24" s="12"/>
      <c r="D24" s="2"/>
      <c r="E24" s="2"/>
      <c r="F24" s="11" t="s">
        <v>40</v>
      </c>
      <c r="G24" s="12">
        <f>((G27-G28)/G29)*G38</f>
        <v>0.2530893168</v>
      </c>
      <c r="H24" s="2"/>
      <c r="I24" s="2"/>
      <c r="J24" s="13" t="s">
        <v>41</v>
      </c>
      <c r="K24" s="12"/>
    </row>
    <row r="25" ht="14.25" customHeight="1">
      <c r="A25" s="2"/>
      <c r="B25" s="11"/>
      <c r="C25" s="12"/>
      <c r="D25" s="2"/>
      <c r="E25" s="2"/>
      <c r="F25" s="11"/>
      <c r="G25" s="12"/>
      <c r="H25" s="2"/>
      <c r="I25" s="2"/>
      <c r="J25" s="13" t="s">
        <v>42</v>
      </c>
      <c r="K25" s="12"/>
      <c r="L25" s="2"/>
      <c r="M25" s="2"/>
      <c r="N25" s="2"/>
      <c r="O25" s="2"/>
      <c r="P25" s="2"/>
      <c r="Q25" s="2"/>
      <c r="R25" s="2"/>
      <c r="S25" s="2"/>
      <c r="T25" s="2"/>
      <c r="U25" s="2"/>
      <c r="V25" s="2"/>
      <c r="W25" s="2"/>
      <c r="X25" s="2"/>
      <c r="Y25" s="2"/>
      <c r="Z25" s="2"/>
    </row>
    <row r="26" ht="14.25" customHeight="1">
      <c r="B26" s="13"/>
      <c r="C26" s="12"/>
      <c r="D26" s="2"/>
      <c r="E26" s="2"/>
      <c r="F26" s="13" t="s">
        <v>43</v>
      </c>
      <c r="G26" s="12">
        <v>2.72</v>
      </c>
      <c r="H26" s="2"/>
      <c r="I26" s="2"/>
      <c r="J26" s="13"/>
      <c r="K26" s="12"/>
    </row>
    <row r="27" ht="14.25" customHeight="1">
      <c r="B27" s="13" t="s">
        <v>25</v>
      </c>
      <c r="C27" s="12">
        <v>52.7</v>
      </c>
      <c r="D27" s="2"/>
      <c r="E27" s="2"/>
      <c r="F27" s="13" t="s">
        <v>44</v>
      </c>
      <c r="G27" s="12">
        <f>G13-G26</f>
        <v>0.18391</v>
      </c>
      <c r="H27" s="2"/>
      <c r="I27" s="2"/>
      <c r="J27" s="13" t="s">
        <v>45</v>
      </c>
      <c r="K27" s="12"/>
    </row>
    <row r="28" ht="14.25" customHeight="1">
      <c r="B28" s="13" t="s">
        <v>6</v>
      </c>
      <c r="C28" s="12"/>
      <c r="D28" s="2"/>
      <c r="E28" s="2"/>
      <c r="F28" s="13" t="s">
        <v>36</v>
      </c>
      <c r="G28" s="14">
        <f>AVERAGE('US Macro Data'!U2:U82)</f>
        <v>0.3830507976</v>
      </c>
      <c r="H28" s="2"/>
      <c r="I28" s="2"/>
      <c r="J28" s="13" t="s">
        <v>46</v>
      </c>
      <c r="K28" s="12"/>
    </row>
    <row r="29" ht="14.25" customHeight="1">
      <c r="B29" s="17" t="s">
        <v>38</v>
      </c>
      <c r="C29" s="18"/>
      <c r="D29" s="2"/>
      <c r="E29" s="2"/>
      <c r="F29" s="17" t="s">
        <v>38</v>
      </c>
      <c r="G29" s="18">
        <f>_xlfn.STDEV.S('US Macro Data'!U2:U82)</f>
        <v>0.7868399984</v>
      </c>
      <c r="H29" s="2"/>
      <c r="I29" s="2"/>
      <c r="J29" s="17"/>
      <c r="K29" s="18"/>
    </row>
    <row r="30" ht="14.25" customHeight="1"/>
    <row r="31" ht="14.25" customHeight="1"/>
    <row r="32" ht="14.25" customHeight="1"/>
    <row r="33" ht="14.25" customHeight="1"/>
    <row r="34" ht="14.25" customHeight="1">
      <c r="B34" s="19"/>
      <c r="C34" s="2"/>
      <c r="D34" s="2"/>
      <c r="E34" s="2"/>
      <c r="F34" s="2"/>
      <c r="G34" s="2"/>
      <c r="H34" s="2"/>
      <c r="I34" s="2"/>
      <c r="J34" s="2"/>
      <c r="K34" s="2"/>
    </row>
    <row r="35" ht="14.25" customHeight="1">
      <c r="B35" s="1" t="s">
        <v>12</v>
      </c>
      <c r="C35" s="2"/>
      <c r="D35" s="2"/>
      <c r="E35" s="2"/>
      <c r="F35" s="1" t="s">
        <v>47</v>
      </c>
      <c r="G35" s="2"/>
      <c r="H35" s="2"/>
      <c r="I35" s="2"/>
      <c r="J35" s="1" t="s">
        <v>14</v>
      </c>
      <c r="K35" s="2"/>
    </row>
    <row r="36" ht="14.25" customHeight="1">
      <c r="B36" s="2" t="s">
        <v>48</v>
      </c>
      <c r="C36" s="2">
        <v>0.6</v>
      </c>
      <c r="D36" s="2"/>
      <c r="E36" s="2"/>
      <c r="F36" s="2" t="s">
        <v>48</v>
      </c>
      <c r="G36" s="2">
        <v>0.6</v>
      </c>
      <c r="H36" s="2"/>
      <c r="I36" s="2"/>
      <c r="J36" s="2" t="s">
        <v>48</v>
      </c>
      <c r="K36" s="2">
        <v>0.6</v>
      </c>
    </row>
    <row r="37" ht="14.25" customHeight="1">
      <c r="B37" s="2" t="s">
        <v>49</v>
      </c>
      <c r="C37" s="2">
        <v>0.4</v>
      </c>
      <c r="D37" s="2"/>
      <c r="E37" s="2"/>
      <c r="F37" s="2" t="s">
        <v>49</v>
      </c>
      <c r="G37" s="2">
        <v>0.4</v>
      </c>
      <c r="H37" s="2"/>
      <c r="I37" s="2"/>
      <c r="J37" s="2" t="s">
        <v>50</v>
      </c>
      <c r="K37" s="2">
        <v>0.4</v>
      </c>
    </row>
    <row r="38" ht="14.25" customHeight="1">
      <c r="B38" s="2" t="s">
        <v>51</v>
      </c>
      <c r="C38" s="2">
        <v>1.0</v>
      </c>
      <c r="D38" s="2"/>
      <c r="E38" s="2"/>
      <c r="F38" s="2" t="s">
        <v>52</v>
      </c>
      <c r="G38" s="2">
        <v>-1.0</v>
      </c>
      <c r="H38" s="2"/>
      <c r="I38" s="2"/>
      <c r="J38" s="2" t="s">
        <v>51</v>
      </c>
      <c r="K38" s="2">
        <v>-1.0</v>
      </c>
    </row>
    <row r="39" ht="14.25" customHeight="1"/>
    <row r="40" ht="14.25" customHeight="1">
      <c r="B40" s="1" t="s">
        <v>53</v>
      </c>
      <c r="C40" s="2">
        <f>(C36*C5)+(C37*C17)</f>
        <v>-0.6086616809</v>
      </c>
      <c r="D40" s="2"/>
      <c r="E40" s="2"/>
      <c r="F40" s="1" t="s">
        <v>54</v>
      </c>
      <c r="G40" s="2">
        <f>(G36*G5)+(G37*G17)</f>
        <v>0.155499994</v>
      </c>
      <c r="H40" s="2"/>
      <c r="I40" s="2"/>
      <c r="J40" s="1" t="s">
        <v>55</v>
      </c>
      <c r="K40" s="2">
        <f>(K36*K5)+(K37*K17)</f>
        <v>0.465643443</v>
      </c>
    </row>
    <row r="41" ht="14.25" customHeight="1">
      <c r="B41" s="1" t="s">
        <v>56</v>
      </c>
      <c r="C41" s="2">
        <f>(C36*C11)+(C37*C24)</f>
        <v>0</v>
      </c>
      <c r="D41" s="2"/>
      <c r="E41" s="2"/>
      <c r="F41" s="1" t="s">
        <v>57</v>
      </c>
      <c r="G41" s="2">
        <f>(G36*G11)+(G37*G24)</f>
        <v>-0.006160577123</v>
      </c>
      <c r="H41" s="2"/>
      <c r="I41" s="2"/>
      <c r="J41" s="2"/>
      <c r="K41" s="2"/>
    </row>
    <row r="42" ht="14.25" customHeight="1">
      <c r="B42" s="2"/>
      <c r="C42" s="2"/>
      <c r="D42" s="2"/>
      <c r="E42" s="2"/>
      <c r="F42" s="1"/>
      <c r="G42" s="2"/>
      <c r="H42" s="2"/>
      <c r="I42" s="2"/>
      <c r="J42" s="2"/>
      <c r="K42" s="2"/>
    </row>
    <row r="43" ht="14.25" customHeight="1">
      <c r="B43" s="1"/>
      <c r="C43" s="2"/>
      <c r="D43" s="2"/>
      <c r="E43" s="2"/>
      <c r="F43" s="2"/>
      <c r="G43" s="2"/>
      <c r="H43" s="2"/>
      <c r="I43" s="2"/>
      <c r="J43" s="2"/>
      <c r="K43" s="2"/>
    </row>
    <row r="44" ht="14.25" customHeight="1">
      <c r="B44" s="2" t="s">
        <v>58</v>
      </c>
      <c r="C44" s="2">
        <v>0.3</v>
      </c>
      <c r="D44" s="2"/>
      <c r="E44" s="2"/>
      <c r="F44" s="2" t="s">
        <v>59</v>
      </c>
      <c r="G44" s="2">
        <v>0.6</v>
      </c>
      <c r="H44" s="2"/>
      <c r="I44" s="2"/>
      <c r="J44" s="2" t="s">
        <v>60</v>
      </c>
      <c r="K44" s="2">
        <v>1.0</v>
      </c>
    </row>
    <row r="45" ht="14.25" customHeight="1">
      <c r="B45" s="2" t="s">
        <v>61</v>
      </c>
      <c r="C45" s="2">
        <v>0.7</v>
      </c>
      <c r="D45" s="2"/>
      <c r="E45" s="2"/>
      <c r="F45" s="2" t="s">
        <v>62</v>
      </c>
      <c r="G45" s="2">
        <v>0.4</v>
      </c>
      <c r="H45" s="2"/>
      <c r="I45" s="2"/>
      <c r="J45" s="2"/>
      <c r="K45" s="2"/>
    </row>
    <row r="46" ht="14.25" customHeight="1">
      <c r="B46" s="1" t="s">
        <v>63</v>
      </c>
      <c r="C46" s="2">
        <f>(C44*C40)+(C45*C41)</f>
        <v>-0.1825985043</v>
      </c>
      <c r="D46" s="2"/>
      <c r="E46" s="2"/>
      <c r="F46" s="1" t="s">
        <v>64</v>
      </c>
      <c r="G46" s="2">
        <f>(G44*G40)+(G45*G41)</f>
        <v>0.09083576557</v>
      </c>
      <c r="H46" s="2"/>
      <c r="I46" s="2"/>
      <c r="J46" s="1" t="s">
        <v>55</v>
      </c>
      <c r="K46" s="2">
        <f>K44*K40</f>
        <v>0.465643443</v>
      </c>
    </row>
    <row r="47" ht="14.25" customHeight="1"/>
    <row r="48" ht="14.25" customHeight="1"/>
    <row r="49" ht="14.25" customHeight="1">
      <c r="B49" s="2" t="s">
        <v>65</v>
      </c>
      <c r="C49" s="2">
        <v>0.4</v>
      </c>
    </row>
    <row r="50" ht="14.25" customHeight="1">
      <c r="B50" s="2" t="s">
        <v>66</v>
      </c>
      <c r="C50" s="2">
        <v>0.3</v>
      </c>
    </row>
    <row r="51" ht="14.25" customHeight="1">
      <c r="B51" s="2" t="s">
        <v>67</v>
      </c>
      <c r="C51" s="2">
        <v>0.3</v>
      </c>
    </row>
    <row r="52" ht="14.25" customHeight="1">
      <c r="B52" s="1" t="s">
        <v>68</v>
      </c>
      <c r="C52" s="2">
        <f>(C49*C46)+(C50*G46)+(C51*K46)</f>
        <v>0.09390436086</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15.88"/>
    <col customWidth="1" min="3" max="5" width="8.63"/>
    <col customWidth="1" min="6" max="6" width="20.38"/>
    <col customWidth="1" min="7" max="8" width="8.63"/>
    <col customWidth="1" min="9" max="9" width="17.0"/>
    <col customWidth="1" min="10" max="14" width="8.63"/>
    <col customWidth="1" min="15" max="15" width="13.0"/>
    <col customWidth="1" min="16" max="26" width="8.63"/>
  </cols>
  <sheetData>
    <row r="1" ht="14.25" customHeight="1">
      <c r="A1" s="1" t="s">
        <v>0</v>
      </c>
      <c r="B1" s="1" t="s">
        <v>1</v>
      </c>
      <c r="C1" s="1" t="s">
        <v>2</v>
      </c>
      <c r="D1" s="1" t="s">
        <v>3</v>
      </c>
      <c r="E1" s="1" t="s">
        <v>4</v>
      </c>
      <c r="F1" s="1" t="s">
        <v>5</v>
      </c>
      <c r="G1" s="2"/>
      <c r="H1" s="2"/>
      <c r="I1" s="1" t="s">
        <v>6</v>
      </c>
      <c r="J1" s="1"/>
      <c r="K1" s="1" t="s">
        <v>7</v>
      </c>
      <c r="L1" s="1" t="s">
        <v>2</v>
      </c>
      <c r="M1" s="1" t="s">
        <v>3</v>
      </c>
      <c r="N1" s="1" t="s">
        <v>4</v>
      </c>
      <c r="O1" s="1" t="s">
        <v>9</v>
      </c>
    </row>
    <row r="2" ht="14.25" customHeight="1">
      <c r="A2" s="3">
        <v>38718.0</v>
      </c>
      <c r="B2" s="4">
        <v>2.23718</v>
      </c>
      <c r="C2" s="2"/>
      <c r="D2" s="2"/>
      <c r="E2" s="2"/>
      <c r="F2" s="20">
        <v>4.4</v>
      </c>
      <c r="G2" s="2"/>
      <c r="H2" s="2"/>
      <c r="I2" s="2"/>
      <c r="J2" s="2"/>
      <c r="K2" s="2"/>
      <c r="L2" s="2"/>
      <c r="M2" s="2"/>
      <c r="N2" s="2"/>
      <c r="O2" s="2"/>
    </row>
    <row r="3" ht="14.25" customHeight="1">
      <c r="A3" s="3">
        <v>38808.0</v>
      </c>
      <c r="B3" s="4">
        <v>1.54416</v>
      </c>
      <c r="C3" s="2"/>
      <c r="D3" s="2"/>
      <c r="E3" s="2"/>
      <c r="F3" s="21">
        <v>4.1</v>
      </c>
      <c r="G3" s="2"/>
      <c r="H3" s="2"/>
      <c r="I3" s="2"/>
      <c r="J3" s="2"/>
      <c r="K3" s="2"/>
      <c r="L3" s="2"/>
      <c r="M3" s="2"/>
      <c r="N3" s="2"/>
      <c r="O3" s="2"/>
    </row>
    <row r="4" ht="14.25" customHeight="1">
      <c r="A4" s="3">
        <v>38899.0</v>
      </c>
      <c r="B4" s="4">
        <v>0.62257</v>
      </c>
      <c r="C4" s="2"/>
      <c r="D4" s="2"/>
      <c r="E4" s="2"/>
      <c r="F4" s="21">
        <v>4.1</v>
      </c>
      <c r="G4" s="2"/>
      <c r="H4" s="2"/>
      <c r="I4" s="2"/>
      <c r="J4" s="2"/>
      <c r="K4" s="2"/>
      <c r="L4" s="2"/>
      <c r="M4" s="2"/>
      <c r="N4" s="2"/>
      <c r="O4" s="2"/>
    </row>
    <row r="5" ht="14.25" customHeight="1">
      <c r="A5" s="3">
        <v>38991.0</v>
      </c>
      <c r="B5" s="4">
        <v>1.68977</v>
      </c>
      <c r="C5" s="2"/>
      <c r="D5" s="2"/>
      <c r="E5" s="2"/>
      <c r="F5" s="21">
        <v>4.1</v>
      </c>
      <c r="G5" s="2"/>
      <c r="H5" s="2"/>
      <c r="I5" s="2"/>
      <c r="J5" s="2"/>
      <c r="K5" s="2"/>
      <c r="L5" s="2"/>
      <c r="M5" s="2"/>
      <c r="N5" s="2"/>
      <c r="O5" s="2"/>
    </row>
    <row r="6" ht="14.25" customHeight="1">
      <c r="A6" s="3">
        <v>39083.0</v>
      </c>
      <c r="B6" s="4">
        <v>2.34146</v>
      </c>
      <c r="C6" s="2"/>
      <c r="D6" s="2"/>
      <c r="E6" s="2"/>
      <c r="F6" s="20">
        <v>4.0</v>
      </c>
      <c r="G6" s="2"/>
      <c r="H6" s="2"/>
      <c r="I6" s="2"/>
      <c r="J6" s="2"/>
      <c r="K6" s="2"/>
      <c r="L6" s="2"/>
      <c r="M6" s="2"/>
      <c r="N6" s="2"/>
      <c r="O6" s="2"/>
    </row>
    <row r="7" ht="14.25" customHeight="1">
      <c r="A7" s="3">
        <v>39173.0</v>
      </c>
      <c r="B7" s="4">
        <v>2.21676</v>
      </c>
      <c r="C7" s="2"/>
      <c r="D7" s="2"/>
      <c r="E7" s="2"/>
      <c r="F7" s="21">
        <v>3.8</v>
      </c>
      <c r="G7" s="2"/>
      <c r="H7" s="2"/>
      <c r="I7" s="2"/>
      <c r="J7" s="2"/>
      <c r="K7" s="2"/>
      <c r="L7" s="2"/>
      <c r="M7" s="2"/>
      <c r="N7" s="2"/>
      <c r="O7" s="2"/>
    </row>
    <row r="8" ht="14.25" customHeight="1">
      <c r="A8" s="3">
        <v>39264.0</v>
      </c>
      <c r="B8" s="4">
        <v>1.5592</v>
      </c>
      <c r="C8" s="2"/>
      <c r="D8" s="2"/>
      <c r="E8" s="2"/>
      <c r="F8" s="21">
        <v>3.6</v>
      </c>
      <c r="G8" s="2"/>
      <c r="H8" s="2"/>
      <c r="I8" s="2"/>
      <c r="J8" s="2"/>
      <c r="K8" s="2"/>
      <c r="L8" s="2"/>
      <c r="M8" s="2"/>
      <c r="N8" s="2"/>
      <c r="O8" s="2"/>
    </row>
    <row r="9" ht="14.25" customHeight="1">
      <c r="A9" s="3">
        <v>39356.0</v>
      </c>
      <c r="B9" s="4">
        <v>0.78191</v>
      </c>
      <c r="C9" s="2"/>
      <c r="D9" s="2"/>
      <c r="E9" s="2"/>
      <c r="F9" s="22">
        <v>4.0</v>
      </c>
      <c r="G9" s="2"/>
      <c r="H9" s="2"/>
      <c r="I9" s="2"/>
      <c r="J9" s="2"/>
      <c r="K9" s="2"/>
      <c r="L9" s="2"/>
      <c r="M9" s="2"/>
      <c r="N9" s="2"/>
      <c r="O9" s="2"/>
    </row>
    <row r="10" ht="14.25" customHeight="1">
      <c r="A10" s="3">
        <v>39448.0</v>
      </c>
      <c r="B10" s="4">
        <v>0.27216</v>
      </c>
      <c r="C10" s="2"/>
      <c r="D10" s="2"/>
      <c r="E10" s="2"/>
      <c r="F10" s="20">
        <v>3.9</v>
      </c>
      <c r="G10" s="2"/>
      <c r="H10" s="2"/>
      <c r="I10" s="2"/>
      <c r="J10" s="2"/>
      <c r="K10" s="2"/>
      <c r="L10" s="2"/>
      <c r="M10" s="2"/>
      <c r="N10" s="2"/>
      <c r="O10" s="2"/>
    </row>
    <row r="11" ht="14.25" customHeight="1">
      <c r="A11" s="3">
        <v>39539.0</v>
      </c>
      <c r="B11" s="4">
        <v>-0.3633</v>
      </c>
      <c r="C11" s="2"/>
      <c r="D11" s="2"/>
      <c r="E11" s="2"/>
      <c r="F11" s="21">
        <v>3.9</v>
      </c>
      <c r="G11" s="2"/>
      <c r="H11" s="2"/>
      <c r="I11" s="2"/>
      <c r="J11" s="2"/>
      <c r="K11" s="2"/>
      <c r="L11" s="2"/>
      <c r="M11" s="2"/>
      <c r="N11" s="2"/>
      <c r="O11" s="2"/>
    </row>
    <row r="12" ht="14.25" customHeight="1">
      <c r="A12" s="3">
        <v>39630.0</v>
      </c>
      <c r="B12" s="4">
        <v>-0.82117</v>
      </c>
      <c r="C12" s="2"/>
      <c r="D12" s="2"/>
      <c r="E12" s="2"/>
      <c r="F12" s="21">
        <v>3.9</v>
      </c>
      <c r="G12" s="2"/>
      <c r="H12" s="2"/>
      <c r="I12" s="2"/>
      <c r="J12" s="2"/>
      <c r="K12" s="2"/>
      <c r="L12" s="2"/>
      <c r="M12" s="2"/>
      <c r="N12" s="2"/>
      <c r="O12" s="2"/>
    </row>
    <row r="13" ht="14.25" customHeight="1">
      <c r="A13" s="3">
        <v>39722.0</v>
      </c>
      <c r="B13" s="4">
        <v>-3.72138</v>
      </c>
      <c r="C13" s="2"/>
      <c r="D13" s="2"/>
      <c r="E13" s="2"/>
      <c r="F13" s="21">
        <v>3.8</v>
      </c>
      <c r="G13" s="2"/>
      <c r="H13" s="2"/>
      <c r="I13" s="2"/>
      <c r="J13" s="2"/>
      <c r="K13" s="2"/>
      <c r="L13" s="2"/>
      <c r="M13" s="2"/>
      <c r="N13" s="2"/>
      <c r="O13" s="2"/>
    </row>
    <row r="14" ht="14.25" customHeight="1">
      <c r="A14" s="3">
        <v>39814.0</v>
      </c>
      <c r="B14" s="4">
        <v>-8.18421</v>
      </c>
      <c r="C14" s="2"/>
      <c r="D14" s="2"/>
      <c r="E14" s="2"/>
      <c r="F14" s="20">
        <v>4.3</v>
      </c>
      <c r="G14" s="2"/>
      <c r="H14" s="2"/>
      <c r="I14" s="2"/>
      <c r="J14" s="2"/>
      <c r="K14" s="2"/>
      <c r="L14" s="2"/>
      <c r="M14" s="2"/>
      <c r="N14" s="2"/>
      <c r="O14" s="2"/>
    </row>
    <row r="15" ht="14.25" customHeight="1">
      <c r="A15" s="3">
        <v>39904.0</v>
      </c>
      <c r="B15" s="4">
        <v>-6.70806</v>
      </c>
      <c r="C15" s="2"/>
      <c r="D15" s="2"/>
      <c r="E15" s="2"/>
      <c r="F15" s="21">
        <v>5.0</v>
      </c>
      <c r="G15" s="2"/>
      <c r="H15" s="2"/>
      <c r="I15" s="2"/>
      <c r="J15" s="2"/>
      <c r="K15" s="2"/>
      <c r="L15" s="2"/>
      <c r="M15" s="2"/>
      <c r="N15" s="2"/>
      <c r="O15" s="2"/>
    </row>
    <row r="16" ht="14.25" customHeight="1">
      <c r="A16" s="3">
        <v>39995.0</v>
      </c>
      <c r="B16" s="4">
        <v>-6.27223</v>
      </c>
      <c r="C16" s="2"/>
      <c r="D16" s="2"/>
      <c r="E16" s="2"/>
      <c r="F16" s="21">
        <v>5.5</v>
      </c>
      <c r="G16" s="2"/>
      <c r="H16" s="2"/>
      <c r="I16" s="2"/>
      <c r="J16" s="2"/>
      <c r="K16" s="2"/>
      <c r="L16" s="2"/>
      <c r="M16" s="2"/>
      <c r="N16" s="2"/>
      <c r="O16" s="2"/>
    </row>
    <row r="17" ht="14.25" customHeight="1">
      <c r="A17" s="3">
        <v>40087.0</v>
      </c>
      <c r="B17" s="4">
        <v>-2.45183</v>
      </c>
      <c r="C17" s="2"/>
      <c r="D17" s="2"/>
      <c r="E17" s="2"/>
      <c r="F17" s="21">
        <v>5.2</v>
      </c>
    </row>
    <row r="18" ht="14.25" customHeight="1">
      <c r="A18" s="3">
        <v>40179.0</v>
      </c>
      <c r="B18" s="4">
        <v>3.34046</v>
      </c>
      <c r="C18" s="2"/>
      <c r="D18" s="2"/>
      <c r="E18" s="2"/>
      <c r="F18" s="20">
        <v>5.0</v>
      </c>
    </row>
    <row r="19" ht="14.25" customHeight="1">
      <c r="A19" s="3">
        <v>40269.0</v>
      </c>
      <c r="B19" s="4">
        <v>3.60659</v>
      </c>
      <c r="C19" s="2"/>
      <c r="D19" s="2"/>
      <c r="E19" s="2"/>
      <c r="F19" s="21">
        <v>5.1</v>
      </c>
    </row>
    <row r="20" ht="14.25" customHeight="1">
      <c r="A20" s="3">
        <v>40360.0</v>
      </c>
      <c r="B20" s="4">
        <v>6.08159</v>
      </c>
      <c r="C20" s="2"/>
      <c r="D20" s="2"/>
      <c r="E20" s="2"/>
      <c r="F20" s="21">
        <v>5.0</v>
      </c>
    </row>
    <row r="21" ht="14.25" customHeight="1">
      <c r="A21" s="3">
        <v>40452.0</v>
      </c>
      <c r="B21" s="4">
        <v>3.50905</v>
      </c>
      <c r="C21" s="2"/>
      <c r="D21" s="2"/>
      <c r="E21" s="2"/>
      <c r="F21" s="21">
        <v>5.1</v>
      </c>
    </row>
    <row r="22" ht="14.25" customHeight="1">
      <c r="A22" s="3">
        <v>40544.0</v>
      </c>
      <c r="B22" s="4">
        <v>0.77364</v>
      </c>
      <c r="C22" s="2"/>
      <c r="D22" s="2"/>
      <c r="E22" s="2"/>
      <c r="F22" s="20">
        <v>4.8</v>
      </c>
    </row>
    <row r="23" ht="14.25" customHeight="1">
      <c r="A23" s="3">
        <v>40634.0</v>
      </c>
      <c r="B23" s="4">
        <v>-1.23223</v>
      </c>
      <c r="C23" s="2"/>
      <c r="D23" s="2"/>
      <c r="E23" s="2"/>
      <c r="F23" s="23">
        <v>4.7</v>
      </c>
    </row>
    <row r="24" ht="14.25" customHeight="1">
      <c r="A24" s="3">
        <v>40725.0</v>
      </c>
      <c r="B24" s="4">
        <v>-0.58207</v>
      </c>
      <c r="C24" s="2"/>
      <c r="D24" s="2"/>
      <c r="E24" s="2"/>
      <c r="F24" s="23">
        <v>4.7</v>
      </c>
    </row>
    <row r="25" ht="14.25" customHeight="1">
      <c r="A25" s="3">
        <v>40817.0</v>
      </c>
      <c r="B25" s="4">
        <v>0.31419</v>
      </c>
      <c r="C25" s="2"/>
      <c r="D25" s="2"/>
      <c r="E25" s="2"/>
      <c r="F25" s="21">
        <v>4.4</v>
      </c>
    </row>
    <row r="26" ht="14.25" customHeight="1">
      <c r="A26" s="3">
        <v>40909.0</v>
      </c>
      <c r="B26" s="4">
        <v>3.32083</v>
      </c>
      <c r="C26" s="2"/>
      <c r="D26" s="2"/>
      <c r="E26" s="2"/>
      <c r="F26" s="21">
        <v>4.5</v>
      </c>
    </row>
    <row r="27" ht="14.25" customHeight="1">
      <c r="A27" s="3">
        <v>41000.0</v>
      </c>
      <c r="B27" s="4">
        <v>3.02238</v>
      </c>
      <c r="C27" s="2"/>
      <c r="D27" s="2"/>
      <c r="E27" s="2"/>
      <c r="F27" s="21">
        <v>4.5</v>
      </c>
    </row>
    <row r="28" ht="14.25" customHeight="1">
      <c r="A28" s="3">
        <v>41091.0</v>
      </c>
      <c r="B28" s="4">
        <v>0.21677</v>
      </c>
      <c r="C28" s="2"/>
      <c r="D28" s="2"/>
      <c r="E28" s="2"/>
      <c r="F28" s="21">
        <v>4.3</v>
      </c>
    </row>
    <row r="29" ht="14.25" customHeight="1">
      <c r="A29" s="3">
        <v>41183.0</v>
      </c>
      <c r="B29" s="4">
        <v>0.12678</v>
      </c>
      <c r="C29" s="2"/>
      <c r="D29" s="2"/>
      <c r="E29" s="2"/>
      <c r="F29" s="21">
        <v>4.1</v>
      </c>
    </row>
    <row r="30" ht="14.25" customHeight="1">
      <c r="A30" s="3">
        <v>41275.0</v>
      </c>
      <c r="B30" s="4">
        <v>-0.11397</v>
      </c>
      <c r="C30" s="2"/>
      <c r="D30" s="2"/>
      <c r="E30" s="2"/>
      <c r="F30" s="21">
        <v>4.2</v>
      </c>
    </row>
    <row r="31" ht="14.25" customHeight="1">
      <c r="A31" s="3">
        <v>41365.0</v>
      </c>
      <c r="B31" s="4">
        <v>1.8556</v>
      </c>
      <c r="C31" s="2"/>
      <c r="D31" s="2"/>
      <c r="E31" s="2"/>
      <c r="F31" s="21">
        <v>4.1</v>
      </c>
    </row>
    <row r="32" ht="14.25" customHeight="1">
      <c r="A32" s="3">
        <v>41456.0</v>
      </c>
      <c r="B32" s="4">
        <v>3.23096</v>
      </c>
      <c r="C32" s="2"/>
      <c r="D32" s="2"/>
      <c r="E32" s="2"/>
      <c r="F32" s="21">
        <v>3.8</v>
      </c>
    </row>
    <row r="33" ht="14.25" customHeight="1">
      <c r="A33" s="3">
        <v>41548.0</v>
      </c>
      <c r="B33" s="4">
        <v>3.1421</v>
      </c>
      <c r="C33" s="2"/>
      <c r="D33" s="2"/>
      <c r="E33" s="2"/>
      <c r="F33" s="21">
        <v>4.0</v>
      </c>
    </row>
    <row r="34" ht="14.25" customHeight="1">
      <c r="A34" s="3">
        <v>41640.0</v>
      </c>
      <c r="B34" s="4">
        <v>2.90639</v>
      </c>
      <c r="C34" s="2"/>
      <c r="D34" s="2"/>
      <c r="E34" s="2"/>
      <c r="F34" s="21">
        <v>3.7</v>
      </c>
    </row>
    <row r="35" ht="14.25" customHeight="1">
      <c r="A35" s="3">
        <v>41730.0</v>
      </c>
      <c r="B35" s="4">
        <v>0.3955</v>
      </c>
      <c r="C35" s="2"/>
      <c r="D35" s="2"/>
      <c r="E35" s="2"/>
      <c r="F35" s="21">
        <v>3.6</v>
      </c>
    </row>
    <row r="36" ht="14.25" customHeight="1">
      <c r="A36" s="3">
        <v>41821.0</v>
      </c>
      <c r="B36" s="4">
        <v>-0.35347</v>
      </c>
      <c r="C36" s="2"/>
      <c r="D36" s="2"/>
      <c r="E36" s="2"/>
      <c r="F36" s="21">
        <v>3.7</v>
      </c>
    </row>
    <row r="37" ht="14.25" customHeight="1">
      <c r="A37" s="3">
        <v>41913.0</v>
      </c>
      <c r="B37" s="4">
        <v>0.36353</v>
      </c>
      <c r="C37" s="2"/>
      <c r="D37" s="2"/>
      <c r="E37" s="2"/>
      <c r="F37" s="21">
        <v>3.6</v>
      </c>
    </row>
    <row r="38" ht="14.25" customHeight="1">
      <c r="A38" s="3">
        <v>42005.0</v>
      </c>
      <c r="B38" s="4">
        <v>0.92378</v>
      </c>
      <c r="C38" s="2"/>
      <c r="D38" s="2"/>
      <c r="E38" s="2"/>
      <c r="F38" s="21">
        <v>3.6</v>
      </c>
    </row>
    <row r="39" ht="14.25" customHeight="1">
      <c r="A39" s="3">
        <v>42095.0</v>
      </c>
      <c r="B39" s="4">
        <v>2.45914</v>
      </c>
      <c r="C39" s="2"/>
      <c r="D39" s="2"/>
      <c r="E39" s="2"/>
      <c r="F39" s="21">
        <v>3.4</v>
      </c>
    </row>
    <row r="40" ht="14.25" customHeight="1">
      <c r="A40" s="3">
        <v>42186.0</v>
      </c>
      <c r="B40" s="4">
        <v>2.4101</v>
      </c>
      <c r="C40" s="2"/>
      <c r="D40" s="2"/>
      <c r="E40" s="2"/>
      <c r="F40" s="21">
        <v>3.3</v>
      </c>
    </row>
    <row r="41" ht="14.25" customHeight="1">
      <c r="A41" s="3">
        <v>42278.0</v>
      </c>
      <c r="B41" s="4">
        <v>1.62491</v>
      </c>
      <c r="C41" s="2"/>
      <c r="D41" s="2"/>
      <c r="E41" s="2"/>
      <c r="F41" s="21">
        <v>3.2</v>
      </c>
    </row>
    <row r="42" ht="14.25" customHeight="1">
      <c r="A42" s="3">
        <v>42370.0</v>
      </c>
      <c r="B42" s="4">
        <v>0.88349</v>
      </c>
      <c r="C42" s="2"/>
      <c r="D42" s="2"/>
      <c r="E42" s="2"/>
      <c r="F42" s="21">
        <v>3.2</v>
      </c>
    </row>
    <row r="43" ht="14.25" customHeight="1">
      <c r="A43" s="3">
        <v>42461.0</v>
      </c>
      <c r="B43" s="4">
        <v>0.47824</v>
      </c>
      <c r="C43" s="2"/>
      <c r="D43" s="2"/>
      <c r="E43" s="2"/>
      <c r="F43" s="21">
        <v>3.2</v>
      </c>
    </row>
    <row r="44" ht="14.25" customHeight="1">
      <c r="A44" s="3">
        <v>42552.0</v>
      </c>
      <c r="B44" s="4">
        <v>0.55648</v>
      </c>
      <c r="C44" s="2"/>
      <c r="D44" s="2"/>
      <c r="E44" s="2"/>
      <c r="F44" s="21">
        <v>3.0</v>
      </c>
    </row>
    <row r="45" ht="14.25" customHeight="1">
      <c r="A45" s="3">
        <v>42644.0</v>
      </c>
      <c r="B45" s="4">
        <v>0.76517</v>
      </c>
      <c r="C45" s="2"/>
      <c r="D45" s="2"/>
      <c r="E45" s="2"/>
      <c r="F45" s="21">
        <v>3.0</v>
      </c>
    </row>
    <row r="46" ht="14.25" customHeight="1">
      <c r="A46" s="3">
        <v>42736.0</v>
      </c>
      <c r="B46" s="4">
        <v>0.62445</v>
      </c>
      <c r="C46" s="2"/>
      <c r="D46" s="2"/>
      <c r="E46" s="2"/>
      <c r="F46" s="21">
        <v>3.0</v>
      </c>
    </row>
    <row r="47" ht="14.25" customHeight="1">
      <c r="A47" s="3">
        <v>42826.0</v>
      </c>
      <c r="B47" s="4">
        <v>1.29602</v>
      </c>
      <c r="C47" s="2"/>
      <c r="D47" s="2"/>
      <c r="E47" s="2"/>
      <c r="F47" s="21">
        <v>2.8</v>
      </c>
    </row>
    <row r="48" ht="14.25" customHeight="1">
      <c r="A48" s="3">
        <v>42917.0</v>
      </c>
      <c r="B48" s="4">
        <v>2.21747</v>
      </c>
      <c r="C48" s="2"/>
      <c r="D48" s="2"/>
      <c r="E48" s="2"/>
      <c r="F48" s="21">
        <v>2.8</v>
      </c>
    </row>
    <row r="49" ht="14.25" customHeight="1">
      <c r="A49" s="3">
        <v>43009.0</v>
      </c>
      <c r="B49" s="4">
        <v>2.36167</v>
      </c>
      <c r="C49" s="2"/>
      <c r="D49" s="2"/>
      <c r="E49" s="2"/>
      <c r="F49" s="21">
        <v>2.7</v>
      </c>
    </row>
    <row r="50" ht="14.25" customHeight="1">
      <c r="A50" s="3">
        <v>43101.0</v>
      </c>
      <c r="B50" s="4">
        <v>1.46429</v>
      </c>
      <c r="C50" s="2"/>
      <c r="D50" s="2"/>
      <c r="E50" s="2"/>
      <c r="F50" s="21">
        <v>2.4</v>
      </c>
    </row>
    <row r="51" ht="14.25" customHeight="1">
      <c r="A51" s="3">
        <v>43191.0</v>
      </c>
      <c r="B51" s="4">
        <v>1.77757</v>
      </c>
      <c r="C51" s="2"/>
      <c r="D51" s="2"/>
      <c r="E51" s="2"/>
      <c r="F51" s="21">
        <v>2.5</v>
      </c>
    </row>
    <row r="52" ht="14.25" customHeight="1">
      <c r="A52" s="3">
        <v>43282.0</v>
      </c>
      <c r="B52" s="4">
        <v>0.1385</v>
      </c>
      <c r="C52" s="2"/>
      <c r="D52" s="2"/>
      <c r="E52" s="2"/>
      <c r="F52" s="21">
        <v>2.5</v>
      </c>
    </row>
    <row r="53" ht="14.25" customHeight="1">
      <c r="A53" s="3">
        <v>43374.0</v>
      </c>
      <c r="B53" s="4">
        <v>0.05276</v>
      </c>
      <c r="C53" s="2"/>
      <c r="D53" s="2"/>
      <c r="E53" s="2"/>
      <c r="F53" s="21">
        <v>2.4</v>
      </c>
    </row>
    <row r="54" ht="14.25" customHeight="1">
      <c r="A54" s="3">
        <v>43466.0</v>
      </c>
      <c r="B54" s="4">
        <v>0.3366</v>
      </c>
      <c r="C54" s="2"/>
      <c r="D54" s="2"/>
      <c r="E54" s="2"/>
      <c r="F54" s="21">
        <v>2.5</v>
      </c>
    </row>
    <row r="55" ht="14.25" customHeight="1">
      <c r="A55" s="3">
        <v>43556.0</v>
      </c>
      <c r="B55" s="4">
        <v>0.1004</v>
      </c>
      <c r="C55" s="2"/>
      <c r="D55" s="2"/>
      <c r="E55" s="2"/>
      <c r="F55" s="21">
        <v>2.4</v>
      </c>
    </row>
    <row r="56" ht="14.25" customHeight="1">
      <c r="A56" s="3">
        <v>43647.0</v>
      </c>
      <c r="B56" s="4">
        <v>0.63946</v>
      </c>
      <c r="C56" s="2"/>
      <c r="D56" s="2"/>
      <c r="E56" s="2"/>
      <c r="F56" s="21">
        <v>2.3</v>
      </c>
    </row>
    <row r="57" ht="14.25" customHeight="1">
      <c r="A57" s="3">
        <v>43739.0</v>
      </c>
      <c r="B57" s="4">
        <v>-2.32409</v>
      </c>
      <c r="C57" s="2"/>
      <c r="D57" s="2"/>
      <c r="E57" s="2"/>
      <c r="F57" s="21">
        <v>2.4</v>
      </c>
    </row>
    <row r="58" ht="14.25" customHeight="1">
      <c r="A58" s="3">
        <v>43831.0</v>
      </c>
      <c r="B58" s="4">
        <v>-2.0703</v>
      </c>
      <c r="C58" s="2"/>
      <c r="D58" s="2"/>
      <c r="E58" s="2"/>
      <c r="F58" s="21">
        <v>2.4</v>
      </c>
    </row>
    <row r="59" ht="14.25" customHeight="1">
      <c r="A59" s="3">
        <v>43922.0</v>
      </c>
      <c r="B59" s="4">
        <v>-9.50111</v>
      </c>
      <c r="C59" s="2"/>
      <c r="D59" s="2"/>
      <c r="E59" s="2"/>
      <c r="F59" s="21">
        <v>2.6</v>
      </c>
    </row>
    <row r="60" ht="14.25" customHeight="1">
      <c r="A60" s="3">
        <v>44013.0</v>
      </c>
      <c r="B60" s="4">
        <v>-5.04078</v>
      </c>
      <c r="C60" s="2"/>
      <c r="D60" s="2"/>
      <c r="E60" s="2"/>
      <c r="F60" s="21">
        <v>2.9</v>
      </c>
    </row>
    <row r="61" ht="14.25" customHeight="1">
      <c r="A61" s="3">
        <v>44105.0</v>
      </c>
      <c r="B61" s="4">
        <v>-0.59454</v>
      </c>
      <c r="C61" s="2"/>
      <c r="D61" s="2"/>
      <c r="E61" s="2"/>
      <c r="F61" s="21">
        <v>3.1</v>
      </c>
    </row>
    <row r="62" ht="14.25" customHeight="1">
      <c r="A62" s="3">
        <v>44197.0</v>
      </c>
      <c r="B62" s="4">
        <v>0.09215</v>
      </c>
      <c r="C62" s="2"/>
      <c r="D62" s="2"/>
      <c r="E62" s="2"/>
      <c r="F62" s="21">
        <v>3.0</v>
      </c>
    </row>
    <row r="63" ht="14.25" customHeight="1">
      <c r="A63" s="3">
        <v>44287.0</v>
      </c>
      <c r="B63" s="4">
        <v>8.66777</v>
      </c>
      <c r="C63" s="2"/>
      <c r="D63" s="2"/>
      <c r="E63" s="2"/>
      <c r="F63" s="21">
        <v>2.9</v>
      </c>
    </row>
    <row r="64" ht="14.25" customHeight="1">
      <c r="A64" s="3">
        <v>44378.0</v>
      </c>
      <c r="B64" s="4">
        <v>3.34276</v>
      </c>
      <c r="C64" s="2"/>
      <c r="D64" s="2"/>
      <c r="E64" s="2"/>
      <c r="F64" s="21">
        <v>2.8</v>
      </c>
    </row>
    <row r="65" ht="14.25" customHeight="1">
      <c r="A65" s="3">
        <v>44470.0</v>
      </c>
      <c r="B65" s="4">
        <v>2.8669</v>
      </c>
      <c r="C65" s="2"/>
      <c r="D65" s="2"/>
      <c r="E65" s="2"/>
      <c r="F65" s="21">
        <v>2.7</v>
      </c>
    </row>
    <row r="66" ht="14.25" customHeight="1">
      <c r="A66" s="3">
        <v>44562.0</v>
      </c>
      <c r="B66" s="4">
        <v>1.41275</v>
      </c>
      <c r="C66" s="2"/>
      <c r="D66" s="2"/>
      <c r="E66" s="2"/>
      <c r="F66" s="21">
        <v>2.8</v>
      </c>
    </row>
    <row r="67" ht="14.25" customHeight="1">
      <c r="A67" s="3">
        <v>44652.0</v>
      </c>
      <c r="B67" s="4">
        <v>1.65328</v>
      </c>
      <c r="C67" s="2"/>
      <c r="D67" s="2"/>
      <c r="E67" s="2"/>
      <c r="F67" s="21">
        <v>2.6</v>
      </c>
    </row>
    <row r="68" ht="14.25" customHeight="1">
      <c r="A68" s="3">
        <v>44743.0</v>
      </c>
      <c r="B68" s="4">
        <v>1.42655</v>
      </c>
      <c r="C68" s="2"/>
      <c r="D68" s="2"/>
      <c r="E68" s="2"/>
      <c r="F68" s="21">
        <v>2.5</v>
      </c>
    </row>
    <row r="69" ht="14.25" customHeight="1">
      <c r="A69" s="3">
        <v>44835.0</v>
      </c>
      <c r="B69" s="4">
        <v>0.67836</v>
      </c>
      <c r="C69" s="2"/>
      <c r="D69" s="2"/>
      <c r="E69" s="2"/>
      <c r="F69" s="21">
        <v>2.6</v>
      </c>
    </row>
    <row r="70" ht="14.25" customHeight="1">
      <c r="A70" s="3">
        <v>44927.0</v>
      </c>
      <c r="B70" s="4">
        <v>1.79946</v>
      </c>
      <c r="C70" s="2"/>
      <c r="D70" s="2"/>
      <c r="E70" s="2"/>
      <c r="F70" s="21">
        <v>2.5</v>
      </c>
    </row>
    <row r="71" ht="14.25" customHeight="1">
      <c r="A71" s="3">
        <v>45017.0</v>
      </c>
      <c r="B71" s="4">
        <v>1.02105</v>
      </c>
      <c r="C71" s="2"/>
      <c r="D71" s="2"/>
      <c r="E71" s="2"/>
      <c r="F71" s="21">
        <v>2.6</v>
      </c>
    </row>
    <row r="72" ht="14.25" customHeight="1">
      <c r="A72" s="3">
        <v>45108.0</v>
      </c>
      <c r="B72" s="4">
        <v>-0.00389</v>
      </c>
      <c r="C72" s="2"/>
      <c r="D72" s="2"/>
      <c r="E72" s="2"/>
      <c r="F72" s="21">
        <v>2.6</v>
      </c>
    </row>
    <row r="73" ht="14.25" customHeight="1">
      <c r="A73" s="3">
        <v>45200.0</v>
      </c>
      <c r="B73" s="4">
        <v>0.05764</v>
      </c>
      <c r="C73" s="2"/>
      <c r="D73" s="2"/>
      <c r="E73" s="2"/>
      <c r="F73" s="21">
        <v>2.5</v>
      </c>
    </row>
    <row r="74" ht="14.25" customHeight="1">
      <c r="A74" s="3">
        <v>45292.0</v>
      </c>
      <c r="B74" s="4">
        <v>-1.23216</v>
      </c>
      <c r="C74" s="2"/>
      <c r="D74" s="2"/>
      <c r="E74" s="2"/>
      <c r="F74" s="21">
        <v>2.5</v>
      </c>
    </row>
    <row r="75" ht="14.25" customHeight="1">
      <c r="A75" s="3">
        <v>45383.0</v>
      </c>
      <c r="B75" s="4">
        <v>-1.24697</v>
      </c>
      <c r="C75" s="2"/>
      <c r="D75" s="2"/>
      <c r="E75" s="2"/>
      <c r="F75" s="21">
        <v>2.6</v>
      </c>
    </row>
    <row r="76" ht="14.25" customHeight="1">
      <c r="A76" s="3">
        <v>45474.0</v>
      </c>
      <c r="B76" s="4">
        <v>0.81399</v>
      </c>
      <c r="C76" s="2"/>
      <c r="D76" s="2"/>
      <c r="E76" s="2"/>
      <c r="F76" s="21">
        <v>2.7</v>
      </c>
    </row>
    <row r="77" ht="14.25" customHeight="1">
      <c r="A77" s="3">
        <v>45566.0</v>
      </c>
      <c r="B77" s="4">
        <v>0.7554</v>
      </c>
      <c r="C77" s="2"/>
      <c r="D77" s="2"/>
      <c r="E77" s="2"/>
      <c r="F77" s="21">
        <v>2.5</v>
      </c>
    </row>
    <row r="78" ht="14.25" customHeight="1">
      <c r="A78" s="3">
        <v>45658.0</v>
      </c>
      <c r="B78" s="4">
        <v>1.57338</v>
      </c>
      <c r="C78" s="2"/>
      <c r="D78" s="2"/>
      <c r="E78" s="2"/>
      <c r="F78" s="21">
        <v>2.5</v>
      </c>
    </row>
    <row r="79" ht="14.25" customHeight="1">
      <c r="A79" s="3">
        <v>45748.0</v>
      </c>
      <c r="B79" s="4">
        <v>1.99682</v>
      </c>
      <c r="C79" s="2"/>
      <c r="D79" s="2"/>
      <c r="E79" s="2"/>
      <c r="F79" s="21">
        <v>2.5</v>
      </c>
    </row>
    <row r="80" ht="14.25" customHeight="1">
      <c r="A80" s="3">
        <v>45839.0</v>
      </c>
      <c r="B80" s="4">
        <v>0.67403</v>
      </c>
      <c r="C80" s="2"/>
      <c r="D80" s="2"/>
      <c r="E80" s="2"/>
      <c r="F80" s="21">
        <v>2.4</v>
      </c>
    </row>
    <row r="81" ht="14.25" customHeight="1">
      <c r="A81" s="3">
        <v>45931.0</v>
      </c>
      <c r="B81" s="4">
        <v>0.53886</v>
      </c>
      <c r="C81" s="2"/>
      <c r="D81" s="2"/>
      <c r="E81" s="2"/>
      <c r="F81" s="21">
        <v>2.6</v>
      </c>
    </row>
    <row r="82" ht="14.25" customHeight="1">
      <c r="A82" s="2"/>
      <c r="B82" s="2"/>
      <c r="C82" s="2"/>
      <c r="D82" s="2"/>
      <c r="E82" s="2"/>
      <c r="F82" s="21">
        <v>2.7</v>
      </c>
    </row>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8.63"/>
    <col customWidth="1" min="3" max="3" width="10.38"/>
    <col customWidth="1" min="4" max="4" width="9.13"/>
    <col customWidth="1" min="5" max="5" width="9.0"/>
    <col customWidth="1" min="6" max="6" width="13.0"/>
    <col customWidth="1" min="7" max="11" width="8.63"/>
    <col customWidth="1" min="12" max="12" width="9.13"/>
    <col customWidth="1" min="13" max="13" width="9.88"/>
    <col customWidth="1" min="14" max="14" width="14.0"/>
    <col customWidth="1" min="15" max="26" width="8.63"/>
  </cols>
  <sheetData>
    <row r="1">
      <c r="A1" s="24" t="s">
        <v>69</v>
      </c>
      <c r="B1" s="24" t="s">
        <v>70</v>
      </c>
      <c r="C1" s="24" t="s">
        <v>71</v>
      </c>
      <c r="D1" s="24" t="s">
        <v>72</v>
      </c>
      <c r="E1" s="24" t="s">
        <v>73</v>
      </c>
      <c r="F1" s="24" t="s">
        <v>9</v>
      </c>
      <c r="G1" s="2"/>
      <c r="H1" s="2" t="s">
        <v>74</v>
      </c>
      <c r="I1" s="2"/>
      <c r="J1" s="2"/>
      <c r="K1" s="2" t="s">
        <v>7</v>
      </c>
      <c r="L1" s="2" t="s">
        <v>75</v>
      </c>
      <c r="M1" s="2" t="s">
        <v>73</v>
      </c>
      <c r="N1" s="2" t="s">
        <v>9</v>
      </c>
      <c r="O1" s="2"/>
      <c r="P1" s="2"/>
      <c r="Q1" s="2"/>
      <c r="R1" s="2"/>
      <c r="S1" s="2"/>
      <c r="T1" s="2"/>
      <c r="U1" s="2"/>
      <c r="V1" s="2"/>
      <c r="W1" s="2"/>
      <c r="X1" s="2"/>
      <c r="Y1" s="2"/>
      <c r="Z1" s="2"/>
    </row>
    <row r="2">
      <c r="A2" s="25">
        <v>38807.0</v>
      </c>
      <c r="B2" s="8" t="s">
        <v>76</v>
      </c>
      <c r="C2" s="8">
        <v>0.9</v>
      </c>
      <c r="D2" s="8">
        <v>2.3</v>
      </c>
      <c r="E2" s="8">
        <v>1.2</v>
      </c>
      <c r="F2" s="8">
        <v>8.9</v>
      </c>
      <c r="G2" s="2"/>
      <c r="H2" s="2"/>
      <c r="I2" s="2"/>
      <c r="J2" s="26"/>
      <c r="K2" s="26">
        <v>1.96</v>
      </c>
      <c r="L2" s="26">
        <v>1.86</v>
      </c>
      <c r="M2" s="2"/>
      <c r="N2" s="8">
        <v>8.62</v>
      </c>
      <c r="O2" s="8"/>
      <c r="P2" s="2"/>
    </row>
    <row r="3">
      <c r="A3" s="25">
        <v>38898.0</v>
      </c>
      <c r="B3" s="8" t="s">
        <v>77</v>
      </c>
      <c r="C3" s="8">
        <v>1.1</v>
      </c>
      <c r="D3" s="8">
        <v>2.5</v>
      </c>
      <c r="E3" s="8">
        <v>1.4</v>
      </c>
      <c r="F3" s="8">
        <v>8.6</v>
      </c>
      <c r="G3" s="2"/>
      <c r="H3" s="2"/>
      <c r="I3" s="2"/>
      <c r="J3" s="26"/>
      <c r="K3" s="26">
        <v>1.96</v>
      </c>
      <c r="L3" s="26">
        <v>1.86</v>
      </c>
      <c r="M3" s="2"/>
      <c r="N3" s="8">
        <v>8.62</v>
      </c>
      <c r="O3" s="8"/>
      <c r="P3" s="2"/>
    </row>
    <row r="4">
      <c r="A4" s="25">
        <v>38990.0</v>
      </c>
      <c r="B4" s="8" t="s">
        <v>78</v>
      </c>
      <c r="C4" s="8">
        <v>0.5</v>
      </c>
      <c r="D4" s="8">
        <v>2.2</v>
      </c>
      <c r="E4" s="8">
        <v>1.5</v>
      </c>
      <c r="F4" s="8">
        <v>8.4</v>
      </c>
      <c r="G4" s="2"/>
      <c r="H4" s="2"/>
      <c r="I4" s="2"/>
      <c r="J4" s="26"/>
      <c r="K4" s="26">
        <v>1.96</v>
      </c>
      <c r="L4" s="26">
        <v>1.86</v>
      </c>
      <c r="M4" s="2"/>
      <c r="N4" s="8">
        <v>8.62</v>
      </c>
      <c r="O4" s="8"/>
      <c r="P4" s="2"/>
    </row>
    <row r="5">
      <c r="A5" s="25">
        <v>39082.0</v>
      </c>
      <c r="B5" s="8" t="s">
        <v>79</v>
      </c>
      <c r="C5" s="8">
        <v>1.2</v>
      </c>
      <c r="D5" s="8">
        <v>1.8</v>
      </c>
      <c r="E5" s="8">
        <v>1.5</v>
      </c>
      <c r="F5" s="8">
        <v>8.2</v>
      </c>
      <c r="G5" s="2"/>
      <c r="H5" s="2"/>
      <c r="I5" s="2"/>
      <c r="J5" s="26"/>
      <c r="K5" s="26">
        <v>1.96</v>
      </c>
      <c r="L5" s="26">
        <v>1.86</v>
      </c>
      <c r="M5" s="2"/>
      <c r="N5" s="8">
        <v>8.62</v>
      </c>
      <c r="O5" s="8"/>
      <c r="P5" s="2"/>
    </row>
    <row r="6">
      <c r="A6" s="25">
        <v>39172.0</v>
      </c>
      <c r="B6" s="8" t="s">
        <v>80</v>
      </c>
      <c r="C6" s="8">
        <v>0.7</v>
      </c>
      <c r="D6" s="8">
        <v>1.9</v>
      </c>
      <c r="E6" s="8">
        <v>1.8</v>
      </c>
      <c r="F6" s="8">
        <v>7.9</v>
      </c>
      <c r="G6" s="2"/>
      <c r="H6" s="2"/>
      <c r="I6" s="2"/>
      <c r="J6" s="26"/>
      <c r="K6" s="26">
        <v>2.15</v>
      </c>
      <c r="L6" s="26">
        <v>1.81</v>
      </c>
      <c r="M6" s="2"/>
      <c r="N6" s="8">
        <v>7.88</v>
      </c>
      <c r="O6" s="8"/>
      <c r="P6" s="2"/>
    </row>
    <row r="7">
      <c r="A7" s="25">
        <v>39263.0</v>
      </c>
      <c r="B7" s="8" t="s">
        <v>81</v>
      </c>
      <c r="C7" s="8">
        <v>0.7</v>
      </c>
      <c r="D7" s="8">
        <v>1.9</v>
      </c>
      <c r="E7" s="8">
        <v>1.9</v>
      </c>
      <c r="F7" s="8">
        <v>7.7</v>
      </c>
      <c r="G7" s="2"/>
      <c r="H7" s="2"/>
      <c r="I7" s="2"/>
      <c r="J7" s="26"/>
      <c r="K7" s="26">
        <v>2.15</v>
      </c>
      <c r="L7" s="26">
        <v>1.81</v>
      </c>
      <c r="M7" s="2"/>
      <c r="N7" s="8">
        <v>7.88</v>
      </c>
      <c r="O7" s="8"/>
      <c r="P7" s="2"/>
    </row>
    <row r="8">
      <c r="A8" s="25">
        <v>39355.0</v>
      </c>
      <c r="B8" s="8" t="s">
        <v>82</v>
      </c>
      <c r="C8" s="8">
        <v>0.4</v>
      </c>
      <c r="D8" s="8">
        <v>1.9</v>
      </c>
      <c r="E8" s="8">
        <v>1.9</v>
      </c>
      <c r="F8" s="8">
        <v>7.6</v>
      </c>
      <c r="G8" s="2"/>
      <c r="H8" s="2"/>
      <c r="I8" s="2"/>
      <c r="J8" s="26"/>
      <c r="K8" s="26">
        <v>2.15</v>
      </c>
      <c r="L8" s="26">
        <v>1.81</v>
      </c>
      <c r="M8" s="2"/>
      <c r="N8" s="8">
        <v>7.88</v>
      </c>
      <c r="O8" s="8"/>
      <c r="P8" s="2"/>
    </row>
    <row r="9">
      <c r="A9" s="25">
        <v>39447.0</v>
      </c>
      <c r="B9" s="8" t="s">
        <v>83</v>
      </c>
      <c r="C9" s="8">
        <v>0.5</v>
      </c>
      <c r="D9" s="8">
        <v>2.9</v>
      </c>
      <c r="E9" s="8">
        <v>1.9</v>
      </c>
      <c r="F9" s="8">
        <v>7.4</v>
      </c>
      <c r="G9" s="2"/>
      <c r="H9" s="2"/>
      <c r="I9" s="2"/>
      <c r="J9" s="26"/>
      <c r="K9" s="26">
        <v>2.15</v>
      </c>
      <c r="L9" s="26">
        <v>1.81</v>
      </c>
      <c r="M9" s="2"/>
      <c r="N9" s="8">
        <v>7.88</v>
      </c>
      <c r="O9" s="8"/>
      <c r="P9" s="2"/>
    </row>
    <row r="10">
      <c r="A10" s="25">
        <v>39538.0</v>
      </c>
      <c r="B10" s="8" t="s">
        <v>84</v>
      </c>
      <c r="C10" s="8">
        <v>0.6</v>
      </c>
      <c r="D10" s="8">
        <v>3.4</v>
      </c>
      <c r="E10" s="8">
        <v>1.8</v>
      </c>
      <c r="F10" s="8">
        <v>7.3</v>
      </c>
      <c r="G10" s="2"/>
      <c r="H10" s="2"/>
      <c r="I10" s="2"/>
      <c r="J10" s="26"/>
      <c r="K10" s="26">
        <v>1.84</v>
      </c>
      <c r="L10" s="26">
        <v>1.88</v>
      </c>
      <c r="M10" s="2"/>
      <c r="N10" s="8">
        <v>6.94</v>
      </c>
      <c r="O10" s="8"/>
      <c r="P10" s="2"/>
    </row>
    <row r="11">
      <c r="A11" s="25">
        <v>39629.0</v>
      </c>
      <c r="B11" s="8" t="s">
        <v>85</v>
      </c>
      <c r="C11" s="8">
        <v>-0.5</v>
      </c>
      <c r="D11" s="8">
        <v>3.7</v>
      </c>
      <c r="E11" s="8">
        <v>1.7</v>
      </c>
      <c r="F11" s="8">
        <v>7.5</v>
      </c>
      <c r="G11" s="2"/>
      <c r="H11" s="2"/>
      <c r="I11" s="2"/>
      <c r="J11" s="26"/>
      <c r="K11" s="26">
        <v>1.84</v>
      </c>
      <c r="L11" s="26">
        <v>1.88</v>
      </c>
      <c r="M11" s="2"/>
      <c r="N11" s="8">
        <v>6.94</v>
      </c>
      <c r="O11" s="8"/>
      <c r="P11" s="2"/>
    </row>
    <row r="12">
      <c r="A12" s="25">
        <v>39721.0</v>
      </c>
      <c r="B12" s="8" t="s">
        <v>86</v>
      </c>
      <c r="C12" s="8">
        <v>-0.5</v>
      </c>
      <c r="D12" s="8">
        <v>3.9</v>
      </c>
      <c r="E12" s="8">
        <v>1.8</v>
      </c>
      <c r="F12" s="8">
        <v>7.6</v>
      </c>
      <c r="G12" s="2"/>
      <c r="H12" s="2"/>
      <c r="I12" s="2"/>
      <c r="J12" s="26"/>
      <c r="K12" s="26">
        <v>1.84</v>
      </c>
      <c r="L12" s="26">
        <v>1.88</v>
      </c>
      <c r="M12" s="2"/>
      <c r="N12" s="8">
        <v>6.94</v>
      </c>
      <c r="O12" s="8"/>
      <c r="P12" s="2"/>
    </row>
    <row r="13">
      <c r="A13" s="25">
        <v>39813.0</v>
      </c>
      <c r="B13" s="8" t="s">
        <v>87</v>
      </c>
      <c r="C13" s="8">
        <v>-1.7</v>
      </c>
      <c r="D13" s="8">
        <v>2.3</v>
      </c>
      <c r="E13" s="8">
        <v>1.9</v>
      </c>
      <c r="F13" s="8">
        <v>8.0</v>
      </c>
      <c r="G13" s="2"/>
      <c r="H13" s="2"/>
      <c r="I13" s="2"/>
      <c r="J13" s="26"/>
      <c r="K13" s="26">
        <v>1.84</v>
      </c>
      <c r="L13" s="26">
        <v>1.88</v>
      </c>
      <c r="M13" s="2"/>
      <c r="N13" s="8">
        <v>6.94</v>
      </c>
      <c r="O13" s="8"/>
      <c r="P13" s="2"/>
    </row>
    <row r="14">
      <c r="A14" s="25">
        <v>39903.0</v>
      </c>
      <c r="B14" s="8" t="s">
        <v>88</v>
      </c>
      <c r="C14" s="8">
        <v>-3.1</v>
      </c>
      <c r="D14" s="8">
        <v>1.0</v>
      </c>
      <c r="E14" s="8">
        <v>1.6</v>
      </c>
      <c r="F14" s="8">
        <v>9.0</v>
      </c>
      <c r="G14" s="2"/>
      <c r="H14" s="2"/>
      <c r="I14" s="2"/>
      <c r="J14" s="26"/>
      <c r="K14" s="26">
        <v>-1.71</v>
      </c>
      <c r="L14" s="26">
        <v>1.95</v>
      </c>
      <c r="M14" s="2"/>
      <c r="N14" s="8">
        <v>7.12</v>
      </c>
      <c r="O14" s="8"/>
      <c r="P14" s="2"/>
    </row>
    <row r="15">
      <c r="A15" s="25">
        <v>39994.0</v>
      </c>
      <c r="B15" s="8" t="s">
        <v>89</v>
      </c>
      <c r="C15" s="8">
        <v>0.0</v>
      </c>
      <c r="D15" s="8">
        <v>0.2</v>
      </c>
      <c r="E15" s="8">
        <v>1.6</v>
      </c>
      <c r="F15" s="8">
        <v>9.6</v>
      </c>
      <c r="G15" s="2"/>
      <c r="H15" s="2"/>
      <c r="I15" s="2"/>
      <c r="J15" s="26"/>
      <c r="K15" s="26">
        <v>-1.71</v>
      </c>
      <c r="L15" s="26">
        <v>1.95</v>
      </c>
      <c r="M15" s="2"/>
      <c r="N15" s="8">
        <v>7.12</v>
      </c>
      <c r="O15" s="8"/>
      <c r="P15" s="2"/>
    </row>
    <row r="16">
      <c r="A16" s="25">
        <v>40086.0</v>
      </c>
      <c r="B16" s="8" t="s">
        <v>90</v>
      </c>
      <c r="C16" s="8">
        <v>0.4</v>
      </c>
      <c r="D16" s="8">
        <v>-0.4</v>
      </c>
      <c r="E16" s="8">
        <v>1.3</v>
      </c>
      <c r="F16" s="8">
        <v>9.9</v>
      </c>
      <c r="G16" s="2"/>
      <c r="H16" s="2"/>
      <c r="I16" s="2"/>
      <c r="J16" s="26"/>
      <c r="K16" s="26">
        <v>-1.71</v>
      </c>
      <c r="L16" s="26">
        <v>1.95</v>
      </c>
      <c r="M16" s="2"/>
      <c r="N16" s="8">
        <v>7.12</v>
      </c>
      <c r="O16" s="8"/>
      <c r="P16" s="2"/>
    </row>
    <row r="17">
      <c r="A17" s="25">
        <v>40178.0</v>
      </c>
      <c r="B17" s="8" t="s">
        <v>91</v>
      </c>
      <c r="C17" s="8">
        <v>0.4</v>
      </c>
      <c r="D17" s="8">
        <v>0.4</v>
      </c>
      <c r="E17" s="8">
        <v>1.1</v>
      </c>
      <c r="F17" s="8">
        <v>10.1</v>
      </c>
      <c r="G17" s="2"/>
      <c r="H17" s="2"/>
      <c r="I17" s="2"/>
      <c r="J17" s="26"/>
      <c r="K17" s="26">
        <v>-1.71</v>
      </c>
      <c r="L17" s="26">
        <v>1.95</v>
      </c>
      <c r="M17" s="2"/>
      <c r="N17" s="8">
        <v>7.12</v>
      </c>
      <c r="O17" s="8"/>
      <c r="P17" s="2"/>
    </row>
    <row r="18">
      <c r="A18" s="25">
        <v>40268.0</v>
      </c>
      <c r="B18" s="8" t="s">
        <v>92</v>
      </c>
      <c r="C18" s="8">
        <v>0.4</v>
      </c>
      <c r="D18" s="8">
        <v>1.1</v>
      </c>
      <c r="E18" s="8">
        <v>0.9</v>
      </c>
      <c r="F18" s="8">
        <v>10.3</v>
      </c>
      <c r="G18" s="2"/>
      <c r="H18" s="2"/>
      <c r="I18" s="2"/>
      <c r="J18" s="26"/>
      <c r="K18" s="26">
        <v>1.19</v>
      </c>
      <c r="L18" s="26">
        <v>2.0</v>
      </c>
      <c r="M18" s="2"/>
      <c r="N18" s="8">
        <v>10.47</v>
      </c>
      <c r="O18" s="8"/>
      <c r="P18" s="2"/>
    </row>
    <row r="19">
      <c r="A19" s="25">
        <v>40359.0</v>
      </c>
      <c r="B19" s="8" t="s">
        <v>93</v>
      </c>
      <c r="C19" s="8">
        <v>0.9</v>
      </c>
      <c r="D19" s="8">
        <v>1.6</v>
      </c>
      <c r="E19" s="8">
        <v>0.9</v>
      </c>
      <c r="F19" s="8">
        <v>10.4</v>
      </c>
      <c r="G19" s="2"/>
      <c r="H19" s="2"/>
      <c r="I19" s="2"/>
      <c r="J19" s="26"/>
      <c r="K19" s="26">
        <v>1.19</v>
      </c>
      <c r="L19" s="26">
        <v>2.0</v>
      </c>
      <c r="M19" s="2"/>
      <c r="N19" s="8">
        <v>10.47</v>
      </c>
      <c r="O19" s="8"/>
      <c r="P19" s="2"/>
    </row>
    <row r="20">
      <c r="A20" s="25">
        <v>40451.0</v>
      </c>
      <c r="B20" s="8" t="s">
        <v>94</v>
      </c>
      <c r="C20" s="8">
        <v>0.4</v>
      </c>
      <c r="D20" s="8">
        <v>1.7</v>
      </c>
      <c r="E20" s="8">
        <v>1.1</v>
      </c>
      <c r="F20" s="8">
        <v>10.3</v>
      </c>
      <c r="G20" s="2"/>
      <c r="H20" s="2"/>
      <c r="I20" s="2"/>
      <c r="J20" s="26"/>
      <c r="K20" s="26">
        <v>1.19</v>
      </c>
      <c r="L20" s="26">
        <v>2.0</v>
      </c>
      <c r="M20" s="2"/>
      <c r="N20" s="8">
        <v>10.47</v>
      </c>
      <c r="O20" s="8"/>
      <c r="P20" s="2"/>
    </row>
    <row r="21" ht="15.75" customHeight="1">
      <c r="A21" s="25">
        <v>40543.0</v>
      </c>
      <c r="B21" s="8" t="s">
        <v>95</v>
      </c>
      <c r="C21" s="8">
        <v>0.6</v>
      </c>
      <c r="D21" s="8">
        <v>2.0</v>
      </c>
      <c r="E21" s="8">
        <v>1.1</v>
      </c>
      <c r="F21" s="8">
        <v>10.3</v>
      </c>
      <c r="G21" s="2"/>
      <c r="H21" s="2"/>
      <c r="I21" s="2"/>
      <c r="J21" s="26"/>
      <c r="K21" s="26">
        <v>1.19</v>
      </c>
      <c r="L21" s="26">
        <v>2.0</v>
      </c>
      <c r="M21" s="2"/>
      <c r="N21" s="8">
        <v>10.47</v>
      </c>
      <c r="O21" s="8"/>
      <c r="P21" s="2"/>
    </row>
    <row r="22" ht="15.75" customHeight="1">
      <c r="A22" s="25">
        <v>40633.0</v>
      </c>
      <c r="B22" s="8" t="s">
        <v>96</v>
      </c>
      <c r="C22" s="8">
        <v>1.0</v>
      </c>
      <c r="D22" s="8">
        <v>2.5</v>
      </c>
      <c r="E22" s="8">
        <v>1.1</v>
      </c>
      <c r="F22" s="8">
        <v>10.2</v>
      </c>
      <c r="G22" s="2"/>
      <c r="H22" s="2"/>
      <c r="I22" s="2"/>
      <c r="J22" s="26"/>
      <c r="K22" s="26">
        <v>1.6</v>
      </c>
      <c r="L22" s="26">
        <v>1.57</v>
      </c>
      <c r="M22" s="2"/>
      <c r="N22" s="8">
        <v>10.28</v>
      </c>
      <c r="O22" s="8"/>
      <c r="P22" s="2"/>
    </row>
    <row r="23" ht="15.75" customHeight="1">
      <c r="A23" s="25">
        <v>40724.0</v>
      </c>
      <c r="B23" s="8" t="s">
        <v>97</v>
      </c>
      <c r="C23" s="8">
        <v>0.0</v>
      </c>
      <c r="D23" s="8">
        <v>2.7</v>
      </c>
      <c r="E23" s="8">
        <v>1.5</v>
      </c>
      <c r="F23" s="8">
        <v>10.1</v>
      </c>
      <c r="G23" s="2"/>
      <c r="H23" s="2"/>
      <c r="I23" s="2"/>
      <c r="J23" s="2"/>
      <c r="K23" s="26">
        <v>1.6</v>
      </c>
      <c r="L23" s="26">
        <v>1.57</v>
      </c>
      <c r="M23" s="2"/>
      <c r="N23" s="8">
        <v>10.28</v>
      </c>
      <c r="O23" s="2"/>
      <c r="P23" s="2"/>
    </row>
    <row r="24" ht="15.75" customHeight="1">
      <c r="A24" s="25">
        <v>40816.0</v>
      </c>
      <c r="B24" s="8" t="s">
        <v>98</v>
      </c>
      <c r="C24" s="8">
        <v>0.0</v>
      </c>
      <c r="D24" s="8">
        <v>2.7</v>
      </c>
      <c r="E24" s="8">
        <v>1.3</v>
      </c>
      <c r="F24" s="8">
        <v>10.4</v>
      </c>
      <c r="G24" s="2"/>
      <c r="H24" s="2"/>
      <c r="I24" s="2"/>
      <c r="J24" s="2"/>
      <c r="K24" s="26">
        <v>1.6</v>
      </c>
      <c r="L24" s="26">
        <v>1.57</v>
      </c>
      <c r="M24" s="2"/>
      <c r="N24" s="8">
        <v>10.28</v>
      </c>
      <c r="O24" s="2"/>
      <c r="P24" s="2"/>
    </row>
    <row r="25" ht="15.75" customHeight="1">
      <c r="A25" s="25">
        <v>40908.0</v>
      </c>
      <c r="B25" s="8" t="s">
        <v>99</v>
      </c>
      <c r="C25" s="8">
        <v>-0.3</v>
      </c>
      <c r="D25" s="8">
        <v>2.9</v>
      </c>
      <c r="E25" s="8">
        <v>1.6</v>
      </c>
      <c r="F25" s="8">
        <v>10.8</v>
      </c>
      <c r="G25" s="2"/>
      <c r="H25" s="2"/>
      <c r="I25" s="2"/>
      <c r="J25" s="2"/>
      <c r="K25" s="26">
        <v>1.6</v>
      </c>
      <c r="L25" s="26">
        <v>1.57</v>
      </c>
      <c r="M25" s="2"/>
      <c r="N25" s="8">
        <v>10.28</v>
      </c>
      <c r="O25" s="2"/>
      <c r="P25" s="2"/>
    </row>
    <row r="26" ht="15.75" customHeight="1">
      <c r="A26" s="25">
        <v>40999.0</v>
      </c>
      <c r="B26" s="8" t="s">
        <v>100</v>
      </c>
      <c r="C26" s="8">
        <v>-0.2</v>
      </c>
      <c r="D26" s="8">
        <v>2.7</v>
      </c>
      <c r="E26" s="8">
        <v>1.5</v>
      </c>
      <c r="F26" s="8">
        <v>11.1</v>
      </c>
      <c r="G26" s="2"/>
      <c r="H26" s="2"/>
      <c r="I26" s="2"/>
      <c r="J26" s="2"/>
      <c r="K26" s="26">
        <v>-0.08</v>
      </c>
      <c r="L26" s="26">
        <v>1.61</v>
      </c>
      <c r="M26" s="2"/>
      <c r="N26" s="8">
        <v>9.46</v>
      </c>
      <c r="O26" s="2"/>
      <c r="P26" s="2"/>
    </row>
    <row r="27" ht="15.75" customHeight="1">
      <c r="A27" s="25">
        <v>41090.0</v>
      </c>
      <c r="B27" s="8" t="s">
        <v>101</v>
      </c>
      <c r="C27" s="8">
        <v>-0.4</v>
      </c>
      <c r="D27" s="8">
        <v>2.5</v>
      </c>
      <c r="E27" s="8">
        <v>1.6</v>
      </c>
      <c r="F27" s="8">
        <v>11.4</v>
      </c>
      <c r="G27" s="2"/>
      <c r="H27" s="2"/>
      <c r="I27" s="2"/>
      <c r="J27" s="2"/>
      <c r="K27" s="26">
        <v>-0.08</v>
      </c>
      <c r="L27" s="26">
        <v>1.61</v>
      </c>
      <c r="M27" s="2"/>
      <c r="N27" s="8">
        <v>9.46</v>
      </c>
      <c r="O27" s="2"/>
      <c r="P27" s="2"/>
    </row>
    <row r="28" ht="15.75" customHeight="1">
      <c r="A28" s="25">
        <v>41182.0</v>
      </c>
      <c r="B28" s="8" t="s">
        <v>102</v>
      </c>
      <c r="C28" s="8">
        <v>-0.1</v>
      </c>
      <c r="D28" s="8">
        <v>2.5</v>
      </c>
      <c r="E28" s="8">
        <v>1.6</v>
      </c>
      <c r="F28" s="8">
        <v>11.6</v>
      </c>
      <c r="G28" s="2"/>
      <c r="H28" s="2"/>
      <c r="I28" s="2"/>
      <c r="J28" s="2"/>
      <c r="K28" s="26">
        <v>-0.08</v>
      </c>
      <c r="L28" s="26">
        <v>1.61</v>
      </c>
      <c r="M28" s="2"/>
      <c r="N28" s="8">
        <v>9.46</v>
      </c>
      <c r="O28" s="2"/>
      <c r="P28" s="2"/>
    </row>
    <row r="29" ht="15.75" customHeight="1">
      <c r="A29" s="25">
        <v>41274.0</v>
      </c>
      <c r="B29" s="8" t="s">
        <v>103</v>
      </c>
      <c r="C29" s="8">
        <v>-0.4</v>
      </c>
      <c r="D29" s="8">
        <v>2.3</v>
      </c>
      <c r="E29" s="8">
        <v>1.5</v>
      </c>
      <c r="F29" s="8">
        <v>12.0</v>
      </c>
      <c r="G29" s="2"/>
      <c r="H29" s="2"/>
      <c r="I29" s="2"/>
      <c r="J29" s="2"/>
      <c r="K29" s="26">
        <v>-0.08</v>
      </c>
      <c r="L29" s="26">
        <v>1.61</v>
      </c>
      <c r="M29" s="2"/>
      <c r="N29" s="8">
        <v>9.46</v>
      </c>
      <c r="O29" s="2"/>
      <c r="P29" s="2"/>
    </row>
    <row r="30" ht="15.75" customHeight="1">
      <c r="A30" s="25">
        <v>41364.0</v>
      </c>
      <c r="B30" s="8" t="s">
        <v>104</v>
      </c>
      <c r="C30" s="8">
        <v>-0.3</v>
      </c>
      <c r="D30" s="8">
        <v>1.9</v>
      </c>
      <c r="E30" s="8">
        <v>1.4</v>
      </c>
      <c r="F30" s="8">
        <v>12.3</v>
      </c>
      <c r="G30" s="2"/>
      <c r="H30" s="2"/>
      <c r="I30" s="2"/>
      <c r="J30" s="2"/>
      <c r="K30" s="26">
        <v>-0.04</v>
      </c>
      <c r="L30" s="26">
        <v>1.84</v>
      </c>
      <c r="M30" s="2"/>
      <c r="N30" s="8">
        <v>10.92</v>
      </c>
      <c r="O30" s="2"/>
      <c r="P30" s="2"/>
    </row>
    <row r="31" ht="15.75" customHeight="1">
      <c r="A31" s="25">
        <v>41455.0</v>
      </c>
      <c r="B31" s="8" t="s">
        <v>105</v>
      </c>
      <c r="C31" s="8">
        <v>0.7</v>
      </c>
      <c r="D31" s="8">
        <v>1.4</v>
      </c>
      <c r="E31" s="8">
        <v>1.1</v>
      </c>
      <c r="F31" s="8">
        <v>12.3</v>
      </c>
      <c r="G31" s="2"/>
      <c r="H31" s="2"/>
      <c r="I31" s="2"/>
      <c r="J31" s="2"/>
      <c r="K31" s="26">
        <v>-0.04</v>
      </c>
      <c r="L31" s="26">
        <v>1.84</v>
      </c>
      <c r="M31" s="2"/>
      <c r="N31" s="8">
        <v>10.92</v>
      </c>
      <c r="O31" s="2"/>
      <c r="P31" s="2"/>
    </row>
    <row r="32" ht="15.75" customHeight="1">
      <c r="A32" s="25">
        <v>41547.0</v>
      </c>
      <c r="B32" s="8" t="s">
        <v>106</v>
      </c>
      <c r="C32" s="8">
        <v>0.3</v>
      </c>
      <c r="D32" s="8">
        <v>1.3</v>
      </c>
      <c r="E32" s="8">
        <v>1.1</v>
      </c>
      <c r="F32" s="8">
        <v>12.2</v>
      </c>
      <c r="G32" s="2"/>
      <c r="H32" s="2"/>
      <c r="I32" s="2"/>
      <c r="J32" s="2"/>
      <c r="K32" s="26">
        <v>-0.04</v>
      </c>
      <c r="L32" s="26">
        <v>1.84</v>
      </c>
      <c r="M32" s="2"/>
      <c r="N32" s="8">
        <v>10.92</v>
      </c>
      <c r="O32" s="2"/>
      <c r="P32" s="2"/>
    </row>
    <row r="33" ht="15.75" customHeight="1">
      <c r="A33" s="25">
        <v>41639.0</v>
      </c>
      <c r="B33" s="8" t="s">
        <v>107</v>
      </c>
      <c r="C33" s="8">
        <v>0.2</v>
      </c>
      <c r="D33" s="8">
        <v>0.8</v>
      </c>
      <c r="E33" s="8">
        <v>0.8</v>
      </c>
      <c r="F33" s="8">
        <v>12.1</v>
      </c>
      <c r="G33" s="2"/>
      <c r="H33" s="2"/>
      <c r="I33" s="2"/>
      <c r="J33" s="2"/>
      <c r="K33" s="26">
        <v>-0.04</v>
      </c>
      <c r="L33" s="26">
        <v>1.84</v>
      </c>
      <c r="M33" s="2"/>
      <c r="N33" s="8">
        <v>10.92</v>
      </c>
      <c r="O33" s="2"/>
    </row>
    <row r="34" ht="15.75" customHeight="1">
      <c r="A34" s="25">
        <v>41729.0</v>
      </c>
      <c r="B34" s="8" t="s">
        <v>108</v>
      </c>
      <c r="C34" s="8">
        <v>0.5</v>
      </c>
      <c r="D34" s="8">
        <v>0.7</v>
      </c>
      <c r="E34" s="8">
        <v>0.8</v>
      </c>
      <c r="F34" s="8">
        <v>12.0</v>
      </c>
      <c r="G34" s="2"/>
      <c r="H34" s="2"/>
      <c r="I34" s="2"/>
      <c r="J34" s="2"/>
      <c r="K34" s="26">
        <v>1.02</v>
      </c>
      <c r="L34" s="26">
        <v>1.88</v>
      </c>
      <c r="M34" s="2"/>
      <c r="N34" s="8">
        <v>12.23</v>
      </c>
      <c r="O34" s="2"/>
    </row>
    <row r="35" ht="15.75" customHeight="1">
      <c r="A35" s="25">
        <v>41820.0</v>
      </c>
      <c r="B35" s="8" t="s">
        <v>109</v>
      </c>
      <c r="C35" s="8">
        <v>0.2</v>
      </c>
      <c r="D35" s="8">
        <v>0.6</v>
      </c>
      <c r="E35" s="8">
        <v>0.8</v>
      </c>
      <c r="F35" s="8">
        <v>11.7</v>
      </c>
      <c r="G35" s="2"/>
      <c r="H35" s="2"/>
      <c r="I35" s="2"/>
      <c r="J35" s="2"/>
      <c r="K35" s="26">
        <v>1.02</v>
      </c>
      <c r="L35" s="26">
        <v>1.88</v>
      </c>
      <c r="M35" s="2"/>
      <c r="N35" s="8">
        <v>12.23</v>
      </c>
      <c r="O35" s="2"/>
    </row>
    <row r="36" ht="15.75" customHeight="1">
      <c r="A36" s="25">
        <v>41912.0</v>
      </c>
      <c r="B36" s="8" t="s">
        <v>110</v>
      </c>
      <c r="C36" s="8">
        <v>0.5</v>
      </c>
      <c r="D36" s="8">
        <v>0.4</v>
      </c>
      <c r="E36" s="8">
        <v>0.8</v>
      </c>
      <c r="F36" s="8">
        <v>11.6</v>
      </c>
      <c r="G36" s="2"/>
      <c r="H36" s="2"/>
      <c r="I36" s="2"/>
      <c r="J36" s="2"/>
      <c r="K36" s="26">
        <v>1.02</v>
      </c>
      <c r="L36" s="26">
        <v>1.88</v>
      </c>
      <c r="M36" s="2"/>
      <c r="N36" s="8">
        <v>12.23</v>
      </c>
      <c r="O36" s="2"/>
    </row>
    <row r="37" ht="15.75" customHeight="1">
      <c r="A37" s="25">
        <v>42004.0</v>
      </c>
      <c r="B37" s="8" t="s">
        <v>111</v>
      </c>
      <c r="C37" s="8">
        <v>0.4</v>
      </c>
      <c r="D37" s="8">
        <v>0.2</v>
      </c>
      <c r="E37" s="8">
        <v>0.7</v>
      </c>
      <c r="F37" s="8">
        <v>11.6</v>
      </c>
      <c r="G37" s="2"/>
      <c r="H37" s="2"/>
      <c r="I37" s="2"/>
      <c r="J37" s="2"/>
      <c r="K37" s="26">
        <v>1.02</v>
      </c>
      <c r="L37" s="26">
        <v>1.88</v>
      </c>
      <c r="M37" s="2"/>
      <c r="N37" s="8">
        <v>12.23</v>
      </c>
      <c r="O37" s="2"/>
    </row>
    <row r="38" ht="15.75" customHeight="1">
      <c r="A38" s="25">
        <v>42094.0</v>
      </c>
      <c r="B38" s="8" t="s">
        <v>112</v>
      </c>
      <c r="C38" s="8">
        <v>0.8</v>
      </c>
      <c r="D38" s="8">
        <v>-0.3</v>
      </c>
      <c r="E38" s="8">
        <v>0.6</v>
      </c>
      <c r="F38" s="8">
        <v>11.3</v>
      </c>
      <c r="G38" s="2"/>
      <c r="H38" s="2"/>
      <c r="I38" s="2"/>
      <c r="J38" s="2"/>
      <c r="K38" s="26">
        <v>1.09</v>
      </c>
      <c r="L38" s="26">
        <v>1.63</v>
      </c>
      <c r="M38" s="2"/>
      <c r="N38" s="8">
        <v>11.49</v>
      </c>
      <c r="O38" s="2"/>
    </row>
    <row r="39" ht="15.75" customHeight="1">
      <c r="A39" s="25">
        <v>42185.0</v>
      </c>
      <c r="B39" s="8" t="s">
        <v>113</v>
      </c>
      <c r="C39" s="8">
        <v>0.4</v>
      </c>
      <c r="D39" s="8">
        <v>0.4</v>
      </c>
      <c r="E39" s="8">
        <v>1.1</v>
      </c>
      <c r="F39" s="8">
        <v>11.1</v>
      </c>
      <c r="G39" s="2"/>
      <c r="H39" s="2"/>
      <c r="I39" s="2"/>
      <c r="J39" s="2"/>
      <c r="K39" s="26">
        <v>1.09</v>
      </c>
      <c r="L39" s="26">
        <v>1.63</v>
      </c>
      <c r="M39" s="2"/>
      <c r="N39" s="8">
        <v>11.49</v>
      </c>
      <c r="O39" s="2"/>
    </row>
    <row r="40" ht="15.75" customHeight="1">
      <c r="A40" s="25">
        <v>42277.0</v>
      </c>
      <c r="B40" s="8" t="s">
        <v>114</v>
      </c>
      <c r="C40" s="8">
        <v>0.4</v>
      </c>
      <c r="D40" s="8">
        <v>0.4</v>
      </c>
      <c r="E40" s="8">
        <v>1.4</v>
      </c>
      <c r="F40" s="8">
        <v>10.7</v>
      </c>
      <c r="G40" s="2"/>
      <c r="H40" s="2"/>
      <c r="I40" s="2"/>
      <c r="J40" s="2"/>
      <c r="K40" s="26">
        <v>1.09</v>
      </c>
      <c r="L40" s="26">
        <v>1.63</v>
      </c>
      <c r="M40" s="2"/>
      <c r="N40" s="8">
        <v>11.49</v>
      </c>
      <c r="O40" s="2"/>
    </row>
    <row r="41" ht="15.75" customHeight="1">
      <c r="A41" s="25">
        <v>42369.0</v>
      </c>
      <c r="B41" s="8" t="s">
        <v>115</v>
      </c>
      <c r="C41" s="8">
        <v>0.5</v>
      </c>
      <c r="D41" s="8">
        <v>0.2</v>
      </c>
      <c r="E41" s="8">
        <v>1.1</v>
      </c>
      <c r="F41" s="8">
        <v>10.6</v>
      </c>
      <c r="G41" s="2"/>
      <c r="H41" s="2"/>
      <c r="I41" s="2"/>
      <c r="J41" s="2"/>
      <c r="K41" s="26">
        <v>1.09</v>
      </c>
      <c r="L41" s="26">
        <v>1.63</v>
      </c>
      <c r="M41" s="2"/>
      <c r="N41" s="8">
        <v>11.49</v>
      </c>
      <c r="O41" s="2"/>
    </row>
    <row r="42" ht="15.75" customHeight="1">
      <c r="A42" s="25">
        <v>42460.0</v>
      </c>
      <c r="B42" s="8" t="s">
        <v>116</v>
      </c>
      <c r="C42" s="8">
        <v>0.5</v>
      </c>
      <c r="D42" s="8">
        <v>0.1</v>
      </c>
      <c r="E42" s="8">
        <v>1.0</v>
      </c>
      <c r="F42" s="8">
        <v>10.4</v>
      </c>
      <c r="G42" s="2"/>
      <c r="H42" s="2"/>
      <c r="I42" s="2"/>
      <c r="J42" s="2"/>
      <c r="K42" s="26">
        <v>1.68</v>
      </c>
      <c r="L42" s="26">
        <v>1.35</v>
      </c>
      <c r="M42" s="2"/>
      <c r="N42" s="8">
        <v>10.59</v>
      </c>
      <c r="O42" s="2"/>
    </row>
    <row r="43" ht="15.75" customHeight="1">
      <c r="A43" s="25">
        <v>42551.0</v>
      </c>
      <c r="B43" s="8" t="s">
        <v>117</v>
      </c>
      <c r="C43" s="8">
        <v>0.2</v>
      </c>
      <c r="D43" s="8">
        <v>-0.1</v>
      </c>
      <c r="E43" s="8">
        <v>0.8</v>
      </c>
      <c r="F43" s="8">
        <v>10.2</v>
      </c>
      <c r="G43" s="2"/>
      <c r="H43" s="2"/>
      <c r="I43" s="2"/>
      <c r="J43" s="2"/>
      <c r="K43" s="26">
        <v>1.68</v>
      </c>
      <c r="L43" s="26">
        <v>1.35</v>
      </c>
      <c r="M43" s="2"/>
      <c r="N43" s="8">
        <v>10.59</v>
      </c>
      <c r="O43" s="2"/>
    </row>
    <row r="44" ht="15.75" customHeight="1">
      <c r="A44" s="25">
        <v>42643.0</v>
      </c>
      <c r="B44" s="8" t="s">
        <v>118</v>
      </c>
      <c r="C44" s="8">
        <v>0.5</v>
      </c>
      <c r="D44" s="8">
        <v>0.3</v>
      </c>
      <c r="E44" s="8">
        <v>0.8</v>
      </c>
      <c r="F44" s="8">
        <v>9.9</v>
      </c>
      <c r="G44" s="2"/>
      <c r="H44" s="2"/>
      <c r="I44" s="2"/>
      <c r="J44" s="2"/>
      <c r="K44" s="26">
        <v>1.68</v>
      </c>
      <c r="L44" s="26">
        <v>1.35</v>
      </c>
      <c r="M44" s="2"/>
      <c r="N44" s="8">
        <v>10.59</v>
      </c>
      <c r="O44" s="2"/>
    </row>
    <row r="45" ht="15.75" customHeight="1">
      <c r="A45" s="25">
        <v>42735.0</v>
      </c>
      <c r="B45" s="8" t="s">
        <v>119</v>
      </c>
      <c r="C45" s="8">
        <v>0.8</v>
      </c>
      <c r="D45" s="8">
        <v>0.7</v>
      </c>
      <c r="E45" s="8">
        <v>0.8</v>
      </c>
      <c r="F45" s="8">
        <v>9.8</v>
      </c>
      <c r="G45" s="2"/>
      <c r="H45" s="2"/>
      <c r="I45" s="2"/>
      <c r="J45" s="2"/>
      <c r="K45" s="26">
        <v>1.68</v>
      </c>
      <c r="L45" s="26">
        <v>1.35</v>
      </c>
      <c r="M45" s="8">
        <v>0.9</v>
      </c>
      <c r="N45" s="8">
        <v>10.59</v>
      </c>
      <c r="O45" s="2"/>
    </row>
    <row r="46" ht="15.75" customHeight="1">
      <c r="A46" s="25">
        <v>42825.0</v>
      </c>
      <c r="B46" s="8" t="s">
        <v>120</v>
      </c>
      <c r="C46" s="8">
        <v>0.8</v>
      </c>
      <c r="D46" s="8">
        <v>1.7</v>
      </c>
      <c r="E46" s="8">
        <v>0.8</v>
      </c>
      <c r="F46" s="8">
        <v>9.5</v>
      </c>
      <c r="G46" s="2"/>
      <c r="H46" s="2"/>
      <c r="I46" s="2"/>
      <c r="J46" s="2"/>
      <c r="K46" s="26">
        <v>1.54</v>
      </c>
      <c r="L46" s="26">
        <v>1.53</v>
      </c>
      <c r="M46" s="8">
        <v>1.1</v>
      </c>
      <c r="N46" s="8">
        <v>9.7</v>
      </c>
      <c r="O46" s="2"/>
    </row>
    <row r="47" ht="15.75" customHeight="1">
      <c r="A47" s="25">
        <v>42916.0</v>
      </c>
      <c r="B47" s="8" t="s">
        <v>121</v>
      </c>
      <c r="C47" s="8">
        <v>0.7</v>
      </c>
      <c r="D47" s="8">
        <v>1.5</v>
      </c>
      <c r="E47" s="8">
        <v>1.1</v>
      </c>
      <c r="F47" s="8">
        <v>9.2</v>
      </c>
      <c r="G47" s="2"/>
      <c r="H47" s="2"/>
      <c r="I47" s="2"/>
      <c r="J47" s="2"/>
      <c r="K47" s="26">
        <v>1.54</v>
      </c>
      <c r="L47" s="26">
        <v>1.53</v>
      </c>
      <c r="M47" s="8">
        <v>1.0</v>
      </c>
      <c r="N47" s="8">
        <v>9.7</v>
      </c>
      <c r="O47" s="2"/>
    </row>
    <row r="48" ht="15.75" customHeight="1">
      <c r="A48" s="25">
        <v>43008.0</v>
      </c>
      <c r="B48" s="8" t="s">
        <v>122</v>
      </c>
      <c r="C48" s="8">
        <v>0.7</v>
      </c>
      <c r="D48" s="8">
        <v>1.5</v>
      </c>
      <c r="E48" s="8">
        <v>1.2</v>
      </c>
      <c r="F48" s="8">
        <v>9.0</v>
      </c>
      <c r="G48" s="2"/>
      <c r="H48" s="2"/>
      <c r="I48" s="2"/>
      <c r="J48" s="2"/>
      <c r="K48" s="26">
        <v>1.54</v>
      </c>
      <c r="L48" s="26">
        <v>1.53</v>
      </c>
      <c r="M48" s="8">
        <v>1.1</v>
      </c>
      <c r="N48" s="8">
        <v>9.7</v>
      </c>
      <c r="O48" s="2"/>
    </row>
    <row r="49" ht="15.75" customHeight="1">
      <c r="A49" s="25">
        <v>43100.0</v>
      </c>
      <c r="B49" s="8" t="s">
        <v>123</v>
      </c>
      <c r="C49" s="8">
        <v>0.8</v>
      </c>
      <c r="D49" s="8">
        <v>1.4</v>
      </c>
      <c r="E49" s="8">
        <v>0.9</v>
      </c>
      <c r="F49" s="8">
        <v>8.7</v>
      </c>
      <c r="G49" s="2"/>
      <c r="H49" s="2"/>
      <c r="I49" s="2"/>
      <c r="J49" s="2"/>
      <c r="K49" s="26">
        <v>1.54</v>
      </c>
      <c r="L49" s="26">
        <v>1.53</v>
      </c>
      <c r="M49" s="8">
        <v>1.1</v>
      </c>
      <c r="N49" s="8">
        <v>9.7</v>
      </c>
      <c r="O49" s="2"/>
    </row>
    <row r="50" ht="15.75" customHeight="1">
      <c r="A50" s="25">
        <v>43190.0</v>
      </c>
      <c r="B50" s="8" t="s">
        <v>124</v>
      </c>
      <c r="C50" s="8">
        <v>0.0</v>
      </c>
      <c r="D50" s="8">
        <v>1.3</v>
      </c>
      <c r="E50" s="8">
        <v>1.0</v>
      </c>
      <c r="F50" s="8">
        <v>8.6</v>
      </c>
      <c r="G50" s="2"/>
      <c r="H50" s="2"/>
      <c r="I50" s="2"/>
      <c r="J50" s="2"/>
      <c r="K50" s="26">
        <v>2.26</v>
      </c>
      <c r="L50" s="26">
        <v>1.45</v>
      </c>
      <c r="M50" s="8">
        <v>1.2</v>
      </c>
      <c r="N50" s="8">
        <v>9.05</v>
      </c>
      <c r="O50" s="2"/>
    </row>
    <row r="51" ht="15.75" customHeight="1">
      <c r="A51" s="25">
        <v>43281.0</v>
      </c>
      <c r="B51" s="8" t="s">
        <v>125</v>
      </c>
      <c r="C51" s="8">
        <v>0.5</v>
      </c>
      <c r="D51" s="8">
        <v>1.7</v>
      </c>
      <c r="E51" s="8">
        <v>1.0</v>
      </c>
      <c r="F51" s="8">
        <v>8.3</v>
      </c>
      <c r="G51" s="2"/>
      <c r="H51" s="2"/>
      <c r="I51" s="2"/>
      <c r="J51" s="2"/>
      <c r="K51" s="26">
        <v>2.26</v>
      </c>
      <c r="L51" s="26">
        <v>1.45</v>
      </c>
      <c r="M51" s="8">
        <v>1.2</v>
      </c>
      <c r="N51" s="8">
        <v>9.05</v>
      </c>
      <c r="O51" s="2"/>
    </row>
    <row r="52" ht="15.75" customHeight="1">
      <c r="A52" s="25">
        <v>43373.0</v>
      </c>
      <c r="B52" s="8" t="s">
        <v>126</v>
      </c>
      <c r="C52" s="8">
        <v>0.1</v>
      </c>
      <c r="D52" s="8">
        <v>2.1</v>
      </c>
      <c r="E52" s="8">
        <v>1.0</v>
      </c>
      <c r="F52" s="8">
        <v>8.0</v>
      </c>
      <c r="G52" s="2"/>
      <c r="H52" s="2"/>
      <c r="I52" s="2"/>
      <c r="J52" s="2"/>
      <c r="K52" s="26">
        <v>2.26</v>
      </c>
      <c r="L52" s="26">
        <v>1.45</v>
      </c>
      <c r="M52" s="8">
        <v>1.2</v>
      </c>
      <c r="N52" s="8">
        <v>9.05</v>
      </c>
      <c r="O52" s="2"/>
    </row>
    <row r="53" ht="15.75" customHeight="1">
      <c r="A53" s="25">
        <v>43465.0</v>
      </c>
      <c r="B53" s="8" t="s">
        <v>127</v>
      </c>
      <c r="C53" s="8">
        <v>0.5</v>
      </c>
      <c r="D53" s="8">
        <v>1.9</v>
      </c>
      <c r="E53" s="8">
        <v>1.0</v>
      </c>
      <c r="F53" s="8">
        <v>7.9</v>
      </c>
      <c r="G53" s="2"/>
      <c r="H53" s="2"/>
      <c r="I53" s="2"/>
      <c r="J53" s="2"/>
      <c r="K53" s="26">
        <v>2.26</v>
      </c>
      <c r="L53" s="26">
        <v>1.45</v>
      </c>
      <c r="M53" s="8" t="s">
        <v>128</v>
      </c>
      <c r="N53" s="8">
        <v>9.05</v>
      </c>
      <c r="O53" s="2"/>
    </row>
    <row r="54" ht="15.75" customHeight="1">
      <c r="A54" s="25">
        <v>43555.0</v>
      </c>
      <c r="B54" s="8" t="s">
        <v>129</v>
      </c>
      <c r="C54" s="8">
        <v>0.7</v>
      </c>
      <c r="D54" s="8">
        <v>1.4</v>
      </c>
      <c r="E54" s="8">
        <v>1.0</v>
      </c>
      <c r="F54" s="8">
        <v>7.8</v>
      </c>
      <c r="G54" s="2"/>
      <c r="H54" s="2"/>
      <c r="I54" s="2"/>
      <c r="J54" s="2"/>
      <c r="K54" s="26">
        <v>1.53</v>
      </c>
      <c r="L54" s="26">
        <v>1.63</v>
      </c>
      <c r="M54" s="8">
        <v>1.3</v>
      </c>
      <c r="N54" s="8">
        <v>7.86</v>
      </c>
      <c r="O54" s="2"/>
    </row>
    <row r="55" ht="15.75" customHeight="1">
      <c r="A55" s="25">
        <v>43646.0</v>
      </c>
      <c r="B55" s="8" t="s">
        <v>130</v>
      </c>
      <c r="C55" s="8">
        <v>0.4</v>
      </c>
      <c r="D55" s="8">
        <v>1.4</v>
      </c>
      <c r="E55" s="8">
        <v>1.1</v>
      </c>
      <c r="F55" s="8">
        <v>7.6</v>
      </c>
      <c r="G55" s="2"/>
      <c r="H55" s="2"/>
      <c r="I55" s="2"/>
      <c r="J55" s="2"/>
      <c r="K55" s="26">
        <v>1.53</v>
      </c>
      <c r="L55" s="26">
        <v>1.63</v>
      </c>
      <c r="M55" s="8">
        <v>1.2</v>
      </c>
      <c r="N55" s="8">
        <v>7.86</v>
      </c>
      <c r="O55" s="2"/>
    </row>
    <row r="56" ht="15.75" customHeight="1">
      <c r="A56" s="25">
        <v>43738.0</v>
      </c>
      <c r="B56" s="8" t="s">
        <v>131</v>
      </c>
      <c r="C56" s="8">
        <v>0.2</v>
      </c>
      <c r="D56" s="8">
        <v>0.9</v>
      </c>
      <c r="E56" s="8">
        <v>0.9</v>
      </c>
      <c r="F56" s="8">
        <v>7.4</v>
      </c>
      <c r="G56" s="2"/>
      <c r="H56" s="2"/>
      <c r="I56" s="2"/>
      <c r="J56" s="2"/>
      <c r="K56" s="26">
        <v>1.53</v>
      </c>
      <c r="L56" s="26">
        <v>1.63</v>
      </c>
      <c r="M56" s="8">
        <v>1.1</v>
      </c>
      <c r="N56" s="8">
        <v>7.86</v>
      </c>
      <c r="O56" s="2"/>
    </row>
    <row r="57" ht="15.75" customHeight="1">
      <c r="A57" s="25">
        <v>43830.0</v>
      </c>
      <c r="B57" s="8" t="s">
        <v>132</v>
      </c>
      <c r="C57" s="8">
        <v>-0.1</v>
      </c>
      <c r="D57" s="8">
        <v>1.0</v>
      </c>
      <c r="E57" s="8">
        <v>1.2</v>
      </c>
      <c r="F57" s="8">
        <v>7.4</v>
      </c>
      <c r="G57" s="2"/>
      <c r="H57" s="2"/>
      <c r="I57" s="2"/>
      <c r="J57" s="2"/>
      <c r="K57" s="26">
        <v>1.53</v>
      </c>
      <c r="L57" s="26">
        <v>1.63</v>
      </c>
      <c r="M57" s="8" t="s">
        <v>128</v>
      </c>
      <c r="N57" s="8">
        <v>7.86</v>
      </c>
      <c r="O57" s="2"/>
    </row>
    <row r="58" ht="15.75" customHeight="1">
      <c r="A58" s="25">
        <v>43921.0</v>
      </c>
      <c r="B58" s="8" t="s">
        <v>133</v>
      </c>
      <c r="C58" s="8">
        <v>-3.2</v>
      </c>
      <c r="D58" s="8">
        <v>1.1</v>
      </c>
      <c r="E58" s="8">
        <v>1.1</v>
      </c>
      <c r="F58" s="8">
        <v>7.3</v>
      </c>
      <c r="G58" s="2"/>
      <c r="H58" s="2"/>
      <c r="I58" s="2"/>
      <c r="J58" s="2"/>
      <c r="K58" s="26">
        <v>1.05</v>
      </c>
      <c r="L58" s="26">
        <v>1.74</v>
      </c>
      <c r="M58" s="8">
        <v>1.2</v>
      </c>
      <c r="N58" s="8">
        <v>7.58</v>
      </c>
      <c r="O58" s="2"/>
    </row>
    <row r="59" ht="15.75" customHeight="1">
      <c r="A59" s="25">
        <v>44012.0</v>
      </c>
      <c r="B59" s="8" t="s">
        <v>134</v>
      </c>
      <c r="C59" s="8">
        <v>-11.1</v>
      </c>
      <c r="D59" s="8">
        <v>0.2</v>
      </c>
      <c r="E59" s="8">
        <v>0.9</v>
      </c>
      <c r="F59" s="8">
        <v>7.7</v>
      </c>
      <c r="G59" s="2"/>
      <c r="H59" s="2"/>
      <c r="I59" s="2"/>
      <c r="J59" s="2"/>
      <c r="K59" s="26">
        <v>1.05</v>
      </c>
      <c r="L59" s="26">
        <v>1.74</v>
      </c>
      <c r="M59" s="8">
        <v>0.8</v>
      </c>
      <c r="N59" s="8">
        <v>7.58</v>
      </c>
      <c r="O59" s="2"/>
    </row>
    <row r="60" ht="15.75" customHeight="1">
      <c r="A60" s="25">
        <v>44104.0</v>
      </c>
      <c r="B60" s="8" t="s">
        <v>135</v>
      </c>
      <c r="C60" s="8">
        <v>11.5</v>
      </c>
      <c r="D60" s="8">
        <v>0.0</v>
      </c>
      <c r="E60" s="8">
        <v>0.6</v>
      </c>
      <c r="F60" s="8">
        <v>8.5</v>
      </c>
      <c r="G60" s="2"/>
      <c r="H60" s="2"/>
      <c r="I60" s="2"/>
      <c r="J60" s="2"/>
      <c r="K60" s="26">
        <v>1.05</v>
      </c>
      <c r="L60" s="26">
        <v>1.74</v>
      </c>
      <c r="M60" s="8">
        <v>0.8</v>
      </c>
      <c r="N60" s="8">
        <v>7.58</v>
      </c>
      <c r="O60" s="2"/>
    </row>
    <row r="61" ht="15.75" customHeight="1">
      <c r="A61" s="25">
        <v>44196.0</v>
      </c>
      <c r="B61" s="8" t="s">
        <v>136</v>
      </c>
      <c r="C61" s="8">
        <v>0.4</v>
      </c>
      <c r="D61" s="8">
        <v>-0.3</v>
      </c>
      <c r="E61" s="8">
        <v>0.2</v>
      </c>
      <c r="F61" s="8">
        <v>8.3</v>
      </c>
      <c r="G61" s="2"/>
      <c r="H61" s="2"/>
      <c r="I61" s="2"/>
      <c r="J61" s="2"/>
      <c r="K61" s="26">
        <v>1.05</v>
      </c>
      <c r="L61" s="26">
        <v>1.74</v>
      </c>
      <c r="M61" s="8">
        <v>0.7</v>
      </c>
      <c r="N61" s="8">
        <v>7.58</v>
      </c>
      <c r="O61" s="2"/>
    </row>
    <row r="62" ht="15.75" customHeight="1">
      <c r="A62" s="25">
        <v>44286.0</v>
      </c>
      <c r="B62" s="8" t="s">
        <v>137</v>
      </c>
      <c r="C62" s="8">
        <v>0.8</v>
      </c>
      <c r="D62" s="8">
        <v>1.0</v>
      </c>
      <c r="E62" s="8">
        <v>1.1</v>
      </c>
      <c r="F62" s="8">
        <v>8.2</v>
      </c>
      <c r="G62" s="2"/>
      <c r="H62" s="2"/>
      <c r="I62" s="2"/>
      <c r="J62" s="2"/>
      <c r="K62" s="26">
        <v>4.37</v>
      </c>
      <c r="L62" s="26">
        <v>1.43</v>
      </c>
      <c r="M62" s="8">
        <v>0.8</v>
      </c>
      <c r="N62" s="8">
        <v>8.87</v>
      </c>
      <c r="O62" s="2"/>
    </row>
    <row r="63" ht="15.75" customHeight="1">
      <c r="A63" s="25">
        <v>44377.0</v>
      </c>
      <c r="B63" s="8" t="s">
        <v>138</v>
      </c>
      <c r="C63" s="8">
        <v>2.2</v>
      </c>
      <c r="D63" s="8">
        <v>1.8</v>
      </c>
      <c r="E63" s="8">
        <v>0.8</v>
      </c>
      <c r="F63" s="8">
        <v>8.1</v>
      </c>
      <c r="G63" s="2"/>
      <c r="H63" s="2"/>
      <c r="I63" s="2"/>
      <c r="J63" s="2"/>
      <c r="K63" s="26">
        <v>4.37</v>
      </c>
      <c r="L63" s="26">
        <v>1.43</v>
      </c>
      <c r="M63" s="8">
        <v>1.1</v>
      </c>
      <c r="N63" s="8">
        <v>8.87</v>
      </c>
      <c r="O63" s="2"/>
    </row>
    <row r="64" ht="15.75" customHeight="1">
      <c r="A64" s="25">
        <v>44469.0</v>
      </c>
      <c r="B64" s="8" t="s">
        <v>139</v>
      </c>
      <c r="C64" s="8">
        <v>1.8</v>
      </c>
      <c r="D64" s="8">
        <v>2.9</v>
      </c>
      <c r="E64" s="8">
        <v>1.4</v>
      </c>
      <c r="F64" s="8">
        <v>7.5</v>
      </c>
      <c r="G64" s="2"/>
      <c r="H64" s="2"/>
      <c r="I64" s="2"/>
      <c r="J64" s="2"/>
      <c r="K64" s="26">
        <v>4.37</v>
      </c>
      <c r="L64" s="26">
        <v>1.43</v>
      </c>
      <c r="M64" s="8">
        <v>1.2</v>
      </c>
      <c r="N64" s="8">
        <v>8.87</v>
      </c>
      <c r="O64" s="2"/>
    </row>
    <row r="65" ht="15.75" customHeight="1">
      <c r="A65" s="25">
        <v>44561.0</v>
      </c>
      <c r="B65" s="8" t="s">
        <v>140</v>
      </c>
      <c r="C65" s="8">
        <v>0.8</v>
      </c>
      <c r="D65" s="8">
        <v>4.7</v>
      </c>
      <c r="E65" s="8">
        <v>2.4</v>
      </c>
      <c r="F65" s="8">
        <v>7.1</v>
      </c>
      <c r="G65" s="2"/>
      <c r="H65" s="2"/>
      <c r="I65" s="2"/>
      <c r="J65" s="2"/>
      <c r="K65" s="26">
        <v>4.37</v>
      </c>
      <c r="L65" s="26">
        <v>1.43</v>
      </c>
      <c r="M65" s="8">
        <v>1.4</v>
      </c>
      <c r="N65" s="8">
        <v>8.87</v>
      </c>
      <c r="O65" s="2"/>
    </row>
    <row r="66" ht="15.75" customHeight="1">
      <c r="A66" s="25">
        <v>44651.0</v>
      </c>
      <c r="B66" s="8" t="s">
        <v>141</v>
      </c>
      <c r="C66" s="8">
        <v>0.7</v>
      </c>
      <c r="D66" s="8">
        <v>6.1</v>
      </c>
      <c r="E66" s="8">
        <v>2.7</v>
      </c>
      <c r="F66" s="8">
        <v>6.8</v>
      </c>
      <c r="G66" s="2"/>
      <c r="H66" s="2"/>
      <c r="I66" s="2"/>
      <c r="J66" s="2"/>
      <c r="K66" s="26">
        <v>4.19</v>
      </c>
      <c r="L66" s="26">
        <v>1.26</v>
      </c>
      <c r="M66" s="8">
        <v>2.0</v>
      </c>
      <c r="N66" s="8">
        <v>8.07</v>
      </c>
      <c r="O66" s="2"/>
    </row>
    <row r="67" ht="15.75" customHeight="1">
      <c r="A67" s="25">
        <v>44742.0</v>
      </c>
      <c r="B67" s="8" t="s">
        <v>142</v>
      </c>
      <c r="C67" s="8">
        <v>0.9</v>
      </c>
      <c r="D67" s="8">
        <v>8.1</v>
      </c>
      <c r="E67" s="8">
        <v>3.7</v>
      </c>
      <c r="F67" s="8">
        <v>6.7</v>
      </c>
      <c r="G67" s="2"/>
      <c r="H67" s="2"/>
      <c r="I67" s="2"/>
      <c r="J67" s="2"/>
      <c r="K67" s="26">
        <v>4.19</v>
      </c>
      <c r="L67" s="26">
        <v>1.26</v>
      </c>
      <c r="M67" s="8">
        <v>2.9</v>
      </c>
      <c r="N67" s="8">
        <v>8.07</v>
      </c>
      <c r="O67" s="2"/>
    </row>
    <row r="68" ht="15.75" customHeight="1">
      <c r="A68" s="25">
        <v>44834.0</v>
      </c>
      <c r="B68" s="8" t="s">
        <v>143</v>
      </c>
      <c r="C68" s="8">
        <v>0.5</v>
      </c>
      <c r="D68" s="8">
        <v>9.3</v>
      </c>
      <c r="E68" s="8">
        <v>4.3</v>
      </c>
      <c r="F68" s="8">
        <v>6.7</v>
      </c>
      <c r="G68" s="2"/>
      <c r="H68" s="2"/>
      <c r="I68" s="2"/>
      <c r="J68" s="2"/>
      <c r="K68" s="26">
        <v>4.19</v>
      </c>
      <c r="L68" s="26">
        <v>1.26</v>
      </c>
      <c r="M68" s="8">
        <v>3.6</v>
      </c>
      <c r="N68" s="8">
        <v>8.07</v>
      </c>
      <c r="O68" s="2"/>
    </row>
    <row r="69" ht="15.75" customHeight="1">
      <c r="A69" s="25">
        <v>44926.0</v>
      </c>
      <c r="B69" s="8" t="s">
        <v>144</v>
      </c>
      <c r="C69" s="8">
        <v>-0.1</v>
      </c>
      <c r="D69" s="8">
        <v>10.0</v>
      </c>
      <c r="E69" s="8">
        <v>5.1</v>
      </c>
      <c r="F69" s="8">
        <v>6.7</v>
      </c>
      <c r="G69" s="2"/>
      <c r="H69" s="2"/>
      <c r="I69" s="2"/>
      <c r="J69" s="2"/>
      <c r="K69" s="26">
        <v>4.19</v>
      </c>
      <c r="L69" s="26">
        <v>1.26</v>
      </c>
      <c r="M69" s="8">
        <v>4.0</v>
      </c>
      <c r="N69" s="8">
        <v>8.07</v>
      </c>
      <c r="O69" s="2"/>
    </row>
    <row r="70" ht="15.75" customHeight="1">
      <c r="A70" s="25">
        <v>45016.0</v>
      </c>
      <c r="B70" s="8" t="s">
        <v>145</v>
      </c>
      <c r="C70" s="8">
        <v>0.0</v>
      </c>
      <c r="D70" s="8">
        <v>8.0</v>
      </c>
      <c r="E70" s="8">
        <v>5.5</v>
      </c>
      <c r="F70" s="8">
        <v>6.6</v>
      </c>
      <c r="G70" s="2"/>
      <c r="H70" s="2"/>
      <c r="I70" s="2"/>
      <c r="J70" s="2"/>
      <c r="K70" s="26">
        <v>0.21</v>
      </c>
      <c r="L70" s="26">
        <v>1.66</v>
      </c>
      <c r="M70" s="8">
        <v>4.4</v>
      </c>
      <c r="N70" s="8">
        <v>6.82</v>
      </c>
      <c r="O70" s="2"/>
    </row>
    <row r="71" ht="15.75" customHeight="1">
      <c r="A71" s="25">
        <v>45107.0</v>
      </c>
      <c r="B71" s="8" t="s">
        <v>146</v>
      </c>
      <c r="C71" s="8">
        <v>0.2</v>
      </c>
      <c r="D71" s="8">
        <v>6.2</v>
      </c>
      <c r="E71" s="8">
        <v>5.5</v>
      </c>
      <c r="F71" s="8">
        <v>6.5</v>
      </c>
      <c r="G71" s="2"/>
      <c r="H71" s="2"/>
      <c r="I71" s="2"/>
      <c r="J71" s="2"/>
      <c r="K71" s="26">
        <v>0.21</v>
      </c>
      <c r="L71" s="26">
        <v>1.66</v>
      </c>
      <c r="M71" s="8">
        <v>4.9</v>
      </c>
      <c r="N71" s="8">
        <v>6.82</v>
      </c>
      <c r="O71" s="2"/>
    </row>
    <row r="72" ht="15.75" customHeight="1">
      <c r="A72" s="25">
        <v>45199.0</v>
      </c>
      <c r="B72" s="8" t="s">
        <v>147</v>
      </c>
      <c r="C72" s="8">
        <v>0.0</v>
      </c>
      <c r="D72" s="8">
        <v>4.9</v>
      </c>
      <c r="E72" s="8">
        <v>5.1</v>
      </c>
      <c r="F72" s="8">
        <v>6.6</v>
      </c>
      <c r="G72" s="2"/>
      <c r="H72" s="2"/>
      <c r="I72" s="2"/>
      <c r="J72" s="2"/>
      <c r="K72" s="26">
        <v>0.21</v>
      </c>
      <c r="L72" s="26">
        <v>1.66</v>
      </c>
      <c r="M72" s="8">
        <v>5.1</v>
      </c>
      <c r="N72" s="8">
        <v>6.82</v>
      </c>
      <c r="O72" s="2"/>
    </row>
    <row r="73" ht="15.75" customHeight="1">
      <c r="A73" s="25">
        <v>45291.0</v>
      </c>
      <c r="B73" s="8" t="s">
        <v>148</v>
      </c>
      <c r="C73" s="8">
        <v>0.1</v>
      </c>
      <c r="D73" s="8">
        <v>2.7</v>
      </c>
      <c r="E73" s="8">
        <v>3.7</v>
      </c>
      <c r="F73" s="8">
        <v>6.5</v>
      </c>
      <c r="G73" s="2"/>
      <c r="H73" s="2"/>
      <c r="I73" s="2"/>
      <c r="J73" s="2"/>
      <c r="K73" s="26">
        <v>0.21</v>
      </c>
      <c r="L73" s="26">
        <v>1.66</v>
      </c>
      <c r="M73" s="8">
        <v>5.1</v>
      </c>
      <c r="N73" s="8">
        <v>6.82</v>
      </c>
      <c r="O73" s="2"/>
    </row>
    <row r="74" ht="15.75" customHeight="1">
      <c r="A74" s="25">
        <v>45382.0</v>
      </c>
      <c r="B74" s="8" t="s">
        <v>149</v>
      </c>
      <c r="C74" s="8">
        <v>0.3</v>
      </c>
      <c r="D74" s="8">
        <v>2.6</v>
      </c>
      <c r="E74" s="8">
        <v>3.1</v>
      </c>
      <c r="F74" s="8">
        <v>6.5</v>
      </c>
      <c r="G74" s="2"/>
      <c r="H74" s="2"/>
      <c r="I74" s="2"/>
      <c r="J74" s="2"/>
      <c r="K74" s="26">
        <v>0.6</v>
      </c>
      <c r="L74" s="26">
        <v>2.44</v>
      </c>
      <c r="M74" s="8">
        <v>2.6</v>
      </c>
      <c r="N74" s="8">
        <v>6.84</v>
      </c>
      <c r="O74" s="2"/>
    </row>
    <row r="75" ht="15.75" customHeight="1">
      <c r="A75" s="25">
        <v>45473.0</v>
      </c>
      <c r="B75" s="8" t="s">
        <v>150</v>
      </c>
      <c r="C75" s="8">
        <v>0.2</v>
      </c>
      <c r="D75" s="8">
        <v>2.5</v>
      </c>
      <c r="E75" s="8">
        <v>2.8</v>
      </c>
      <c r="F75" s="8">
        <v>6.4</v>
      </c>
      <c r="G75" s="2"/>
      <c r="H75" s="2"/>
      <c r="I75" s="2"/>
      <c r="J75" s="2"/>
      <c r="K75" s="26">
        <v>0.6</v>
      </c>
      <c r="L75" s="26">
        <v>2.44</v>
      </c>
      <c r="M75" s="8">
        <v>2.6</v>
      </c>
      <c r="N75" s="8">
        <v>6.84</v>
      </c>
      <c r="O75" s="2"/>
    </row>
    <row r="76" ht="15.75" customHeight="1">
      <c r="A76" s="25">
        <v>45565.0</v>
      </c>
      <c r="B76" s="8" t="s">
        <v>151</v>
      </c>
      <c r="C76" s="8">
        <v>0.4</v>
      </c>
      <c r="D76" s="8">
        <v>2.2</v>
      </c>
      <c r="E76" s="8">
        <v>2.8</v>
      </c>
      <c r="F76" s="8">
        <v>6.3</v>
      </c>
      <c r="G76" s="2"/>
      <c r="H76" s="2"/>
      <c r="I76" s="2"/>
      <c r="J76" s="2"/>
      <c r="K76" s="26">
        <v>0.6</v>
      </c>
      <c r="L76" s="26">
        <v>2.44</v>
      </c>
      <c r="M76" s="8">
        <v>2.7</v>
      </c>
      <c r="N76" s="8">
        <v>6.84</v>
      </c>
      <c r="O76" s="2"/>
    </row>
    <row r="77" ht="15.75" customHeight="1">
      <c r="A77" s="25">
        <v>45657.0</v>
      </c>
      <c r="B77" s="8" t="s">
        <v>152</v>
      </c>
      <c r="C77" s="8">
        <v>0.4</v>
      </c>
      <c r="D77" s="8">
        <v>2.2</v>
      </c>
      <c r="E77" s="8">
        <v>2.7</v>
      </c>
      <c r="F77" s="8">
        <v>6.2</v>
      </c>
      <c r="G77" s="2"/>
      <c r="H77" s="2"/>
      <c r="I77" s="2"/>
      <c r="J77" s="2"/>
      <c r="K77" s="26">
        <v>0.6</v>
      </c>
      <c r="L77" s="26">
        <v>2.44</v>
      </c>
      <c r="M77" s="8">
        <v>2.8</v>
      </c>
      <c r="N77" s="8">
        <v>6.84</v>
      </c>
      <c r="O77" s="2"/>
    </row>
    <row r="78" ht="15.75" customHeight="1">
      <c r="A78" s="25">
        <v>45747.0</v>
      </c>
      <c r="B78" s="8" t="s">
        <v>153</v>
      </c>
      <c r="C78" s="8">
        <v>0.6</v>
      </c>
      <c r="D78" s="8">
        <v>2.3</v>
      </c>
      <c r="E78" s="8">
        <v>2.6</v>
      </c>
      <c r="F78" s="8">
        <v>6.3</v>
      </c>
      <c r="G78" s="2"/>
      <c r="H78" s="2"/>
      <c r="I78" s="2"/>
      <c r="J78" s="2"/>
      <c r="K78" s="26">
        <v>1.01</v>
      </c>
      <c r="L78" s="26">
        <v>2.11</v>
      </c>
      <c r="M78" s="8">
        <v>2.2</v>
      </c>
      <c r="N78" s="8">
        <v>6.56</v>
      </c>
      <c r="O78" s="2"/>
    </row>
    <row r="79" ht="15.75" customHeight="1">
      <c r="A79" s="25">
        <v>45838.0</v>
      </c>
      <c r="B79" s="8" t="s">
        <v>154</v>
      </c>
      <c r="C79" s="8">
        <v>0.1</v>
      </c>
      <c r="D79" s="8">
        <v>2.0</v>
      </c>
      <c r="E79" s="8">
        <v>2.4</v>
      </c>
      <c r="F79" s="8">
        <v>6.3</v>
      </c>
      <c r="G79" s="2"/>
      <c r="H79" s="2"/>
      <c r="I79" s="2"/>
      <c r="J79" s="2"/>
      <c r="K79" s="26">
        <v>1.01</v>
      </c>
      <c r="L79" s="26">
        <v>2.11</v>
      </c>
      <c r="M79" s="8">
        <v>2.3</v>
      </c>
      <c r="N79" s="8">
        <v>6.56</v>
      </c>
      <c r="O79" s="2"/>
    </row>
    <row r="80" ht="15.75" customHeight="1">
      <c r="A80" s="25">
        <v>45930.0</v>
      </c>
      <c r="B80" s="8" t="s">
        <v>155</v>
      </c>
      <c r="C80" s="8">
        <v>0.3</v>
      </c>
      <c r="D80" s="8">
        <v>2.1</v>
      </c>
      <c r="E80" s="8">
        <v>2.3</v>
      </c>
      <c r="F80" s="8">
        <v>6.3</v>
      </c>
      <c r="G80" s="2"/>
      <c r="H80" s="2"/>
      <c r="I80" s="2"/>
      <c r="J80" s="2"/>
      <c r="K80" s="26">
        <v>1.01</v>
      </c>
      <c r="L80" s="26">
        <v>2.11</v>
      </c>
      <c r="M80" s="8">
        <v>2.3</v>
      </c>
      <c r="N80" s="8">
        <v>6.56</v>
      </c>
      <c r="O80" s="2"/>
    </row>
    <row r="81" ht="15.75" customHeight="1">
      <c r="A81" s="25">
        <v>46022.0</v>
      </c>
      <c r="B81" s="8" t="s">
        <v>156</v>
      </c>
      <c r="C81" s="8">
        <v>0.2</v>
      </c>
      <c r="D81" s="8">
        <v>2.1</v>
      </c>
      <c r="E81" s="8">
        <v>2.4</v>
      </c>
      <c r="F81" s="8">
        <v>6.3</v>
      </c>
      <c r="G81" s="2"/>
      <c r="H81" s="2"/>
      <c r="I81" s="2"/>
      <c r="J81" s="2"/>
      <c r="K81" s="26">
        <v>1.01</v>
      </c>
      <c r="L81" s="26">
        <v>2.11</v>
      </c>
      <c r="M81" s="8">
        <v>2.4</v>
      </c>
      <c r="N81" s="8">
        <v>6.56</v>
      </c>
      <c r="O81" s="2"/>
    </row>
    <row r="82" ht="15.75" customHeight="1">
      <c r="A82" s="2"/>
      <c r="B82" s="2"/>
      <c r="C82" s="2"/>
      <c r="D82" s="27">
        <v>2.0</v>
      </c>
      <c r="E82" s="27">
        <v>2.3</v>
      </c>
      <c r="F82" s="27">
        <v>6.2</v>
      </c>
      <c r="G82" s="2"/>
      <c r="H82" s="2"/>
      <c r="I82" s="2"/>
      <c r="J82" s="2"/>
      <c r="K82" s="26">
        <v>1.2</v>
      </c>
      <c r="L82" s="26">
        <v>1.93</v>
      </c>
      <c r="M82" s="8">
        <v>2.0</v>
      </c>
      <c r="N82" s="8">
        <v>6.35</v>
      </c>
      <c r="O82" s="2"/>
    </row>
    <row r="83" ht="15.75" customHeight="1">
      <c r="A83" s="2"/>
      <c r="B83" s="2"/>
      <c r="C83" s="2"/>
      <c r="D83" s="2"/>
      <c r="E83" s="2"/>
      <c r="F83" s="2"/>
      <c r="G83" s="2"/>
      <c r="H83" s="2"/>
      <c r="I83" s="2"/>
      <c r="J83" s="2"/>
      <c r="K83" s="26">
        <v>1.2</v>
      </c>
      <c r="L83" s="26">
        <v>1.93</v>
      </c>
      <c r="M83" s="2"/>
      <c r="N83" s="8">
        <v>6.35</v>
      </c>
      <c r="O83" s="2"/>
    </row>
    <row r="84" ht="15.75" customHeight="1">
      <c r="A84" s="2"/>
      <c r="B84" s="2"/>
      <c r="C84" s="2"/>
      <c r="D84" s="2"/>
      <c r="E84" s="2"/>
      <c r="F84" s="2"/>
      <c r="G84" s="2"/>
      <c r="H84" s="2"/>
      <c r="I84" s="2"/>
      <c r="J84" s="2"/>
      <c r="K84" s="26">
        <v>1.2</v>
      </c>
      <c r="L84" s="26">
        <v>1.93</v>
      </c>
      <c r="M84" s="2"/>
      <c r="N84" s="8">
        <v>6.35</v>
      </c>
      <c r="O84" s="2"/>
    </row>
    <row r="85" ht="15.75" customHeight="1">
      <c r="A85" s="2"/>
      <c r="B85" s="2"/>
      <c r="C85" s="2"/>
      <c r="D85" s="2"/>
      <c r="E85" s="2"/>
      <c r="F85" s="2"/>
      <c r="G85" s="2"/>
      <c r="H85" s="2"/>
      <c r="I85" s="2"/>
      <c r="J85" s="2"/>
      <c r="K85" s="26">
        <v>1.2</v>
      </c>
      <c r="L85" s="26">
        <v>1.93</v>
      </c>
      <c r="M85" s="2"/>
      <c r="N85" s="8">
        <v>6.35</v>
      </c>
      <c r="O85" s="2"/>
    </row>
    <row r="86" ht="15.75" customHeight="1">
      <c r="A86" s="2"/>
      <c r="B86" s="2"/>
      <c r="C86" s="2"/>
      <c r="D86" s="2"/>
      <c r="E86" s="2"/>
      <c r="F86" s="2"/>
      <c r="G86" s="2"/>
      <c r="H86" s="2"/>
      <c r="I86" s="2"/>
      <c r="J86" s="2"/>
      <c r="K86" s="2"/>
      <c r="L86" s="26">
        <v>2.0</v>
      </c>
      <c r="M86" s="2"/>
      <c r="N86" s="2"/>
      <c r="O86" s="2"/>
    </row>
    <row r="87" ht="15.0" customHeight="1">
      <c r="A87" s="2"/>
      <c r="B87" s="2"/>
      <c r="C87" s="2"/>
      <c r="D87" s="2"/>
      <c r="E87" s="2"/>
      <c r="F87" s="2"/>
      <c r="G87" s="2"/>
      <c r="H87" s="2"/>
      <c r="I87" s="2"/>
      <c r="J87" s="2"/>
      <c r="K87" s="2"/>
      <c r="L87" s="26">
        <v>2.0</v>
      </c>
      <c r="M87" s="2"/>
      <c r="N87" s="2"/>
      <c r="O87" s="2"/>
    </row>
    <row r="88" ht="15.0" customHeight="1">
      <c r="A88" s="2"/>
      <c r="B88" s="2"/>
      <c r="C88" s="2"/>
      <c r="D88" s="2"/>
      <c r="E88" s="2"/>
      <c r="F88" s="2"/>
      <c r="G88" s="2"/>
      <c r="H88" s="2"/>
      <c r="I88" s="2"/>
      <c r="J88" s="2"/>
      <c r="K88" s="2"/>
      <c r="L88" s="26">
        <v>2.0</v>
      </c>
      <c r="M88" s="2"/>
      <c r="N88" s="2"/>
      <c r="O88" s="2"/>
    </row>
    <row r="89" ht="15.0" customHeight="1">
      <c r="A89" s="2"/>
      <c r="B89" s="2"/>
      <c r="C89" s="2"/>
      <c r="D89" s="2"/>
      <c r="E89" s="2"/>
      <c r="F89" s="2"/>
      <c r="G89" s="2"/>
      <c r="H89" s="2"/>
      <c r="I89" s="2"/>
      <c r="J89" s="2"/>
      <c r="K89" s="2"/>
      <c r="L89" s="26">
        <v>2.0</v>
      </c>
      <c r="M89" s="2"/>
      <c r="N89" s="2"/>
      <c r="O89" s="2"/>
    </row>
    <row r="90" ht="15.75" customHeight="1">
      <c r="L90" s="2"/>
    </row>
    <row r="91" ht="15.75" customHeight="1">
      <c r="L91" s="2"/>
    </row>
    <row r="92" ht="15.75" customHeight="1">
      <c r="L92" s="2"/>
    </row>
    <row r="93" ht="15.75" customHeight="1">
      <c r="L93" s="2"/>
    </row>
    <row r="94" ht="15.75" customHeight="1">
      <c r="L94" s="2"/>
    </row>
    <row r="95" ht="15.75" customHeight="1">
      <c r="L95" s="2"/>
    </row>
    <row r="96" ht="15.75" customHeight="1">
      <c r="L96" s="2"/>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8.0"/>
    <col customWidth="1" min="3" max="5" width="9.13"/>
    <col customWidth="1" min="6" max="6" width="21.13"/>
    <col customWidth="1" min="7" max="7" width="16.0"/>
    <col customWidth="1" min="8" max="9" width="9.13"/>
    <col customWidth="1" min="10" max="10" width="26.0"/>
    <col customWidth="1" min="11" max="11" width="10.75"/>
    <col customWidth="1" min="12" max="26" width="8.63"/>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9" t="s">
        <v>12</v>
      </c>
      <c r="C3" s="10"/>
      <c r="D3" s="2"/>
      <c r="E3" s="2"/>
      <c r="F3" s="9" t="s">
        <v>13</v>
      </c>
      <c r="G3" s="10"/>
      <c r="H3" s="2"/>
      <c r="I3" s="2"/>
      <c r="J3" s="9" t="s">
        <v>14</v>
      </c>
      <c r="K3" s="10"/>
      <c r="L3" s="2"/>
      <c r="M3" s="2"/>
      <c r="N3" s="2"/>
      <c r="O3" s="2"/>
      <c r="P3" s="2"/>
      <c r="Q3" s="2"/>
      <c r="R3" s="2"/>
      <c r="S3" s="2"/>
      <c r="T3" s="2"/>
      <c r="U3" s="2"/>
      <c r="V3" s="2"/>
      <c r="W3" s="2"/>
      <c r="X3" s="2"/>
      <c r="Y3" s="2"/>
      <c r="Z3" s="2"/>
    </row>
    <row r="4">
      <c r="A4" s="2"/>
      <c r="B4" s="11"/>
      <c r="C4" s="12"/>
      <c r="D4" s="2"/>
      <c r="E4" s="2"/>
      <c r="F4" s="13"/>
      <c r="G4" s="12"/>
      <c r="H4" s="2"/>
      <c r="I4" s="2"/>
      <c r="J4" s="13"/>
      <c r="K4" s="12"/>
      <c r="L4" s="2"/>
      <c r="M4" s="2"/>
      <c r="N4" s="2"/>
      <c r="O4" s="2"/>
      <c r="P4" s="2"/>
      <c r="Q4" s="2"/>
      <c r="R4" s="2"/>
      <c r="S4" s="2"/>
      <c r="T4" s="2"/>
      <c r="U4" s="2"/>
      <c r="V4" s="2"/>
      <c r="W4" s="2"/>
      <c r="X4" s="2"/>
      <c r="Y4" s="2"/>
      <c r="Z4" s="2"/>
    </row>
    <row r="5">
      <c r="A5" s="2"/>
      <c r="B5" s="11" t="s">
        <v>15</v>
      </c>
      <c r="C5" s="12">
        <f>(((C7-C8)/C9)*C38)</f>
        <v>-0.4180228948</v>
      </c>
      <c r="D5" s="2"/>
      <c r="E5" s="2"/>
      <c r="F5" s="11" t="s">
        <v>16</v>
      </c>
      <c r="G5" s="12">
        <f>((G7-G8)/G9)*G38</f>
        <v>0.06327629094</v>
      </c>
      <c r="H5" s="2"/>
      <c r="I5" s="2"/>
      <c r="J5" s="11" t="s">
        <v>17</v>
      </c>
      <c r="K5" s="12">
        <f>(((K7-K8)/K9)*K38)</f>
        <v>0.6360111534</v>
      </c>
      <c r="L5" s="2"/>
      <c r="M5" s="2"/>
      <c r="N5" s="2"/>
      <c r="O5" s="2"/>
      <c r="P5" s="2"/>
      <c r="Q5" s="2"/>
      <c r="R5" s="2"/>
      <c r="S5" s="2"/>
      <c r="T5" s="2"/>
      <c r="U5" s="2"/>
      <c r="V5" s="2"/>
      <c r="W5" s="2"/>
      <c r="X5" s="2"/>
      <c r="Y5" s="2"/>
      <c r="Z5" s="2"/>
    </row>
    <row r="6">
      <c r="A6" s="2"/>
      <c r="B6" s="13"/>
      <c r="C6" s="12"/>
      <c r="D6" s="2"/>
      <c r="E6" s="2"/>
      <c r="F6" s="13"/>
      <c r="G6" s="12"/>
      <c r="H6" s="2"/>
      <c r="I6" s="2"/>
      <c r="J6" s="13"/>
      <c r="K6" s="12"/>
      <c r="L6" s="2"/>
      <c r="M6" s="2"/>
      <c r="N6" s="2"/>
      <c r="O6" s="2"/>
      <c r="P6" s="2"/>
      <c r="Q6" s="2"/>
      <c r="R6" s="2"/>
      <c r="S6" s="2"/>
      <c r="T6" s="2"/>
      <c r="U6" s="2"/>
      <c r="V6" s="2"/>
      <c r="W6" s="2"/>
      <c r="X6" s="2"/>
      <c r="Y6" s="2"/>
      <c r="Z6" s="2"/>
    </row>
    <row r="7">
      <c r="A7" s="2"/>
      <c r="B7" s="13" t="s">
        <v>18</v>
      </c>
      <c r="C7" s="12">
        <v>1.10765</v>
      </c>
      <c r="D7" s="2"/>
      <c r="E7" s="2"/>
      <c r="F7" s="13" t="s">
        <v>19</v>
      </c>
      <c r="G7" s="12">
        <v>2.434</v>
      </c>
      <c r="H7" s="2"/>
      <c r="I7" s="2"/>
      <c r="J7" s="13" t="s">
        <v>20</v>
      </c>
      <c r="K7" s="12">
        <v>4.4</v>
      </c>
      <c r="L7" s="2"/>
      <c r="M7" s="2"/>
      <c r="N7" s="2"/>
      <c r="O7" s="2"/>
      <c r="P7" s="2"/>
      <c r="Q7" s="2"/>
      <c r="R7" s="2"/>
      <c r="S7" s="2"/>
      <c r="T7" s="2"/>
      <c r="U7" s="2"/>
      <c r="V7" s="2"/>
      <c r="W7" s="2"/>
      <c r="X7" s="2"/>
      <c r="Y7" s="2"/>
      <c r="Z7" s="2"/>
    </row>
    <row r="8">
      <c r="A8" s="2"/>
      <c r="B8" s="13" t="s">
        <v>21</v>
      </c>
      <c r="C8" s="14">
        <f>AVERAGE('US Macro Data'!B2:B81)</f>
        <v>2.044950125</v>
      </c>
      <c r="D8" s="2"/>
      <c r="E8" s="2"/>
      <c r="F8" s="13" t="s">
        <v>21</v>
      </c>
      <c r="G8" s="14">
        <f>AVERAGE('US Macro Data'!D2:D81)</f>
        <v>2.553926625</v>
      </c>
      <c r="H8" s="2"/>
      <c r="I8" s="2"/>
      <c r="J8" s="13" t="s">
        <v>21</v>
      </c>
      <c r="K8" s="15">
        <f>AVERAGE('US Macro Data'!F2:F81)</f>
        <v>5.77125</v>
      </c>
      <c r="L8" s="2"/>
      <c r="M8" s="2"/>
      <c r="N8" s="2"/>
      <c r="O8" s="2"/>
      <c r="P8" s="2"/>
      <c r="Q8" s="2"/>
      <c r="R8" s="2"/>
      <c r="S8" s="2"/>
      <c r="T8" s="2"/>
      <c r="U8" s="2"/>
      <c r="V8" s="2"/>
      <c r="W8" s="2"/>
      <c r="X8" s="2"/>
      <c r="Y8" s="2"/>
      <c r="Z8" s="2"/>
    </row>
    <row r="9">
      <c r="A9" s="2"/>
      <c r="B9" s="13" t="s">
        <v>22</v>
      </c>
      <c r="C9" s="12">
        <f>_xlfn.STDEV.S('US Macro Data'!B2:B81)</f>
        <v>2.242221985</v>
      </c>
      <c r="D9" s="2"/>
      <c r="E9" s="2"/>
      <c r="F9" s="13" t="s">
        <v>22</v>
      </c>
      <c r="G9" s="12">
        <f>_xlfn.STDEV.S('US Macro Data'!D2:D81)</f>
        <v>1.895285315</v>
      </c>
      <c r="H9" s="2"/>
      <c r="I9" s="2"/>
      <c r="J9" s="13" t="s">
        <v>22</v>
      </c>
      <c r="K9" s="12">
        <f>_xlfn.STDEV.S('US Macro Data'!F2:F81)</f>
        <v>2.15601565</v>
      </c>
      <c r="L9" s="2"/>
      <c r="M9" s="2"/>
      <c r="N9" s="2"/>
      <c r="O9" s="2"/>
      <c r="P9" s="2"/>
      <c r="Q9" s="2"/>
      <c r="R9" s="2"/>
      <c r="S9" s="2"/>
      <c r="T9" s="2"/>
      <c r="U9" s="2"/>
      <c r="V9" s="2"/>
      <c r="W9" s="2"/>
      <c r="X9" s="2"/>
      <c r="Y9" s="2"/>
      <c r="Z9" s="2"/>
    </row>
    <row r="10">
      <c r="A10" s="2"/>
      <c r="B10" s="13"/>
      <c r="C10" s="12"/>
      <c r="D10" s="2"/>
      <c r="E10" s="2"/>
      <c r="F10" s="13"/>
      <c r="G10" s="12"/>
      <c r="H10" s="2"/>
      <c r="I10" s="2"/>
      <c r="J10" s="13"/>
      <c r="K10" s="12"/>
      <c r="L10" s="2"/>
      <c r="M10" s="2"/>
      <c r="N10" s="2"/>
      <c r="O10" s="2"/>
      <c r="P10" s="2"/>
      <c r="Q10" s="2"/>
      <c r="R10" s="2"/>
      <c r="S10" s="2"/>
      <c r="T10" s="2"/>
      <c r="U10" s="2"/>
      <c r="V10" s="2"/>
      <c r="W10" s="2"/>
      <c r="X10" s="2"/>
      <c r="Y10" s="2"/>
      <c r="Z10" s="2"/>
    </row>
    <row r="11">
      <c r="A11" s="2"/>
      <c r="B11" s="11" t="s">
        <v>23</v>
      </c>
      <c r="C11" s="12"/>
      <c r="D11" s="2"/>
      <c r="E11" s="2"/>
      <c r="F11" s="11" t="s">
        <v>24</v>
      </c>
      <c r="G11" s="12">
        <f>(((G13-G14)/G15)*G38)</f>
        <v>-0.1789938397</v>
      </c>
      <c r="H11" s="2"/>
      <c r="I11" s="2"/>
      <c r="J11" s="13"/>
      <c r="K11" s="12"/>
      <c r="L11" s="2"/>
      <c r="M11" s="2"/>
      <c r="N11" s="2"/>
      <c r="O11" s="2"/>
      <c r="P11" s="2"/>
      <c r="Q11" s="2"/>
      <c r="R11" s="2"/>
      <c r="S11" s="2"/>
      <c r="T11" s="2"/>
      <c r="U11" s="2"/>
      <c r="V11" s="2"/>
      <c r="W11" s="2"/>
      <c r="X11" s="2"/>
      <c r="Y11" s="2"/>
      <c r="Z11" s="2"/>
    </row>
    <row r="12">
      <c r="A12" s="2"/>
      <c r="B12" s="13"/>
      <c r="C12" s="12"/>
      <c r="D12" s="2"/>
      <c r="E12" s="2"/>
      <c r="F12" s="13"/>
      <c r="G12" s="12"/>
      <c r="H12" s="2"/>
      <c r="I12" s="2"/>
      <c r="J12" s="13"/>
      <c r="K12" s="12"/>
      <c r="L12" s="2"/>
      <c r="M12" s="2"/>
      <c r="N12" s="2"/>
      <c r="O12" s="2"/>
      <c r="P12" s="2"/>
      <c r="Q12" s="2"/>
      <c r="R12" s="2"/>
      <c r="S12" s="2"/>
      <c r="T12" s="2"/>
      <c r="U12" s="2"/>
      <c r="V12" s="2"/>
      <c r="W12" s="2"/>
      <c r="X12" s="2"/>
      <c r="Y12" s="2"/>
      <c r="Z12" s="2"/>
    </row>
    <row r="13">
      <c r="A13" s="2"/>
      <c r="B13" s="13" t="s">
        <v>25</v>
      </c>
      <c r="C13" s="12">
        <v>52.7</v>
      </c>
      <c r="D13" s="2"/>
      <c r="E13" s="2"/>
      <c r="F13" s="13" t="s">
        <v>26</v>
      </c>
      <c r="G13" s="12">
        <v>2.90391</v>
      </c>
      <c r="H13" s="2"/>
      <c r="I13" s="2"/>
      <c r="J13" s="11"/>
      <c r="K13" s="12"/>
      <c r="L13" s="2"/>
      <c r="M13" s="2"/>
      <c r="N13" s="2"/>
      <c r="O13" s="2"/>
      <c r="P13" s="2"/>
      <c r="Q13" s="2"/>
      <c r="R13" s="2"/>
      <c r="S13" s="2"/>
      <c r="T13" s="2"/>
      <c r="U13" s="2"/>
      <c r="V13" s="2"/>
      <c r="W13" s="2"/>
      <c r="X13" s="2"/>
      <c r="Y13" s="2"/>
      <c r="Z13" s="2"/>
    </row>
    <row r="14">
      <c r="A14" s="2"/>
      <c r="B14" s="13" t="s">
        <v>21</v>
      </c>
      <c r="C14" s="12" t="str">
        <f>AVERAGE('US Macro Data'!C2:C81)</f>
        <v>#DIV/0!</v>
      </c>
      <c r="D14" s="2"/>
      <c r="E14" s="2"/>
      <c r="F14" s="13" t="s">
        <v>21</v>
      </c>
      <c r="G14" s="16">
        <f>AVERAGE('US Macro Data'!E2:E81)</f>
        <v>2.688588933</v>
      </c>
      <c r="H14" s="2"/>
      <c r="I14" s="2"/>
      <c r="J14" s="13"/>
      <c r="K14" s="12"/>
      <c r="L14" s="2"/>
      <c r="M14" s="2"/>
      <c r="N14" s="2"/>
      <c r="O14" s="2"/>
      <c r="P14" s="2"/>
      <c r="Q14" s="2"/>
      <c r="R14" s="2"/>
      <c r="S14" s="2"/>
      <c r="T14" s="2"/>
      <c r="U14" s="2"/>
      <c r="V14" s="2"/>
      <c r="W14" s="2"/>
      <c r="X14" s="2"/>
      <c r="Y14" s="2"/>
      <c r="Z14" s="2"/>
    </row>
    <row r="15">
      <c r="A15" s="2"/>
      <c r="B15" s="13" t="s">
        <v>22</v>
      </c>
      <c r="C15" s="12" t="str">
        <f>_xlfn.STDEV.S('US Macro Data'!C2:C81)</f>
        <v>#DIV/0!</v>
      </c>
      <c r="D15" s="2"/>
      <c r="E15" s="2"/>
      <c r="F15" s="13" t="s">
        <v>22</v>
      </c>
      <c r="G15" s="12">
        <f>_xlfn.STDEV.S('US Macro Data'!E2:E81)</f>
        <v>1.202952391</v>
      </c>
      <c r="H15" s="2"/>
      <c r="I15" s="2"/>
      <c r="J15" s="13"/>
      <c r="K15" s="12"/>
      <c r="L15" s="2"/>
      <c r="M15" s="2"/>
      <c r="N15" s="2"/>
      <c r="O15" s="2"/>
      <c r="P15" s="2"/>
      <c r="Q15" s="2"/>
      <c r="R15" s="2"/>
      <c r="S15" s="2"/>
      <c r="T15" s="2"/>
      <c r="U15" s="2"/>
      <c r="V15" s="2"/>
      <c r="W15" s="2"/>
      <c r="X15" s="2"/>
      <c r="Y15" s="2"/>
      <c r="Z15" s="2"/>
    </row>
    <row r="16">
      <c r="A16" s="2"/>
      <c r="B16" s="13"/>
      <c r="C16" s="12"/>
      <c r="D16" s="2"/>
      <c r="E16" s="2"/>
      <c r="F16" s="13"/>
      <c r="G16" s="12"/>
      <c r="H16" s="2"/>
      <c r="I16" s="2"/>
      <c r="J16" s="13"/>
      <c r="K16" s="12"/>
      <c r="L16" s="2"/>
      <c r="M16" s="2"/>
      <c r="N16" s="2"/>
      <c r="O16" s="2"/>
      <c r="P16" s="2"/>
      <c r="Q16" s="2"/>
      <c r="R16" s="2"/>
      <c r="S16" s="2"/>
      <c r="T16" s="2"/>
      <c r="U16" s="2"/>
      <c r="V16" s="2"/>
      <c r="W16" s="2"/>
      <c r="X16" s="2"/>
      <c r="Y16" s="2"/>
      <c r="Z16" s="2"/>
    </row>
    <row r="17">
      <c r="A17" s="2"/>
      <c r="B17" s="11" t="s">
        <v>27</v>
      </c>
      <c r="C17" s="12">
        <f>((C20-C21)/C22)*C38</f>
        <v>-0.89461986</v>
      </c>
      <c r="D17" s="2"/>
      <c r="E17" s="2"/>
      <c r="F17" s="11" t="s">
        <v>28</v>
      </c>
      <c r="G17" s="12">
        <f>((G20-G21)/G22)*G38</f>
        <v>0.2938355487</v>
      </c>
      <c r="H17" s="2"/>
      <c r="I17" s="2"/>
      <c r="J17" s="11" t="s">
        <v>29</v>
      </c>
      <c r="K17" s="12">
        <f>(((K20-K21)/K22))</f>
        <v>0.2100918773</v>
      </c>
      <c r="L17" s="2"/>
      <c r="M17" s="2"/>
      <c r="N17" s="2"/>
      <c r="O17" s="2"/>
      <c r="P17" s="2"/>
      <c r="Q17" s="2"/>
      <c r="R17" s="2"/>
      <c r="S17" s="2"/>
      <c r="T17" s="2"/>
      <c r="U17" s="2"/>
      <c r="V17" s="2"/>
      <c r="W17" s="2"/>
      <c r="X17" s="2"/>
      <c r="Y17" s="2"/>
      <c r="Z17" s="2"/>
    </row>
    <row r="18">
      <c r="A18" s="2"/>
      <c r="B18" s="13"/>
      <c r="C18" s="12"/>
      <c r="D18" s="2"/>
      <c r="E18" s="2"/>
      <c r="F18" s="13"/>
      <c r="G18" s="12"/>
      <c r="H18" s="2"/>
      <c r="I18" s="2"/>
      <c r="J18" s="13"/>
      <c r="K18" s="12"/>
      <c r="L18" s="2"/>
      <c r="M18" s="2"/>
      <c r="N18" s="2"/>
      <c r="O18" s="2"/>
      <c r="P18" s="2"/>
      <c r="Q18" s="2"/>
      <c r="R18" s="2"/>
      <c r="S18" s="2"/>
      <c r="T18" s="2"/>
      <c r="U18" s="2"/>
      <c r="V18" s="2"/>
      <c r="W18" s="2"/>
      <c r="X18" s="2"/>
      <c r="Y18" s="2"/>
      <c r="Z18" s="2"/>
    </row>
    <row r="19">
      <c r="A19" s="2"/>
      <c r="B19" s="13" t="s">
        <v>30</v>
      </c>
      <c r="C19" s="12">
        <v>4.99265605</v>
      </c>
      <c r="D19" s="2"/>
      <c r="E19" s="2"/>
      <c r="F19" s="13" t="s">
        <v>31</v>
      </c>
      <c r="G19" s="12">
        <v>2.69</v>
      </c>
      <c r="H19" s="2"/>
      <c r="I19" s="2"/>
      <c r="J19" s="13" t="s">
        <v>32</v>
      </c>
      <c r="K19" s="12">
        <v>4.42</v>
      </c>
      <c r="L19" s="2"/>
      <c r="M19" s="2"/>
      <c r="N19" s="2"/>
      <c r="O19" s="2"/>
      <c r="P19" s="2"/>
      <c r="Q19" s="2"/>
      <c r="R19" s="2"/>
      <c r="S19" s="2"/>
      <c r="T19" s="2"/>
      <c r="U19" s="2"/>
      <c r="V19" s="2"/>
      <c r="W19" s="2"/>
      <c r="X19" s="2"/>
      <c r="Y19" s="2"/>
      <c r="Z19" s="2"/>
    </row>
    <row r="20">
      <c r="A20" s="2"/>
      <c r="B20" s="13" t="s">
        <v>33</v>
      </c>
      <c r="C20" s="12">
        <f>C7-C19</f>
        <v>-3.88500605</v>
      </c>
      <c r="D20" s="2"/>
      <c r="E20" s="2"/>
      <c r="F20" s="13" t="s">
        <v>34</v>
      </c>
      <c r="G20" s="12">
        <f>G7-G19</f>
        <v>-0.256</v>
      </c>
      <c r="H20" s="2"/>
      <c r="I20" s="2"/>
      <c r="J20" s="13" t="s">
        <v>35</v>
      </c>
      <c r="K20" s="12">
        <f>K7-K19</f>
        <v>-0.02</v>
      </c>
      <c r="L20" s="2"/>
      <c r="M20" s="2"/>
      <c r="N20" s="2"/>
      <c r="O20" s="2"/>
      <c r="P20" s="2"/>
      <c r="Q20" s="2"/>
      <c r="R20" s="2"/>
      <c r="S20" s="2"/>
      <c r="T20" s="2"/>
      <c r="U20" s="2"/>
      <c r="V20" s="2"/>
      <c r="W20" s="2"/>
      <c r="X20" s="2"/>
      <c r="Y20" s="2"/>
      <c r="Z20" s="2"/>
    </row>
    <row r="21" ht="15.75" customHeight="1">
      <c r="A21" s="2"/>
      <c r="B21" s="13" t="s">
        <v>36</v>
      </c>
      <c r="C21" s="14">
        <f>AVERAGE('US Macro Data'!R2:R82)</f>
        <v>-2.569014473</v>
      </c>
      <c r="D21" s="2"/>
      <c r="E21" s="2"/>
      <c r="F21" s="13" t="s">
        <v>36</v>
      </c>
      <c r="G21" s="14">
        <f>AVERAGE('US Macro Data'!T2:T82)</f>
        <v>0.2105448148</v>
      </c>
      <c r="H21" s="2"/>
      <c r="I21" s="2"/>
      <c r="J21" s="13" t="s">
        <v>37</v>
      </c>
      <c r="K21" s="14">
        <f>AVERAGE('US Macro Data'!V2:V82)</f>
        <v>-0.1479012346</v>
      </c>
      <c r="L21" s="2"/>
      <c r="M21" s="2"/>
      <c r="N21" s="2"/>
      <c r="O21" s="2"/>
      <c r="P21" s="2"/>
      <c r="Q21" s="2"/>
      <c r="R21" s="2"/>
      <c r="S21" s="2"/>
      <c r="T21" s="2"/>
      <c r="U21" s="2"/>
      <c r="V21" s="2"/>
      <c r="W21" s="2"/>
      <c r="X21" s="2"/>
      <c r="Y21" s="2"/>
      <c r="Z21" s="2"/>
    </row>
    <row r="22" ht="15.75" customHeight="1">
      <c r="A22" s="2"/>
      <c r="B22" s="13" t="s">
        <v>38</v>
      </c>
      <c r="C22" s="12">
        <f>_xlfn.STDEV.S('US Macro Data'!K2:K82)</f>
        <v>1.471006442</v>
      </c>
      <c r="D22" s="2"/>
      <c r="E22" s="2"/>
      <c r="F22" s="13" t="s">
        <v>38</v>
      </c>
      <c r="G22" s="12">
        <f>_xlfn.STDEV.S('US Macro Data'!M2:M82)</f>
        <v>1.58777526</v>
      </c>
      <c r="H22" s="2"/>
      <c r="I22" s="2"/>
      <c r="J22" s="13" t="s">
        <v>38</v>
      </c>
      <c r="K22" s="12">
        <f>_xlfn.STDEV.S('US Macro Data'!V2:V82)</f>
        <v>0.6087871468</v>
      </c>
      <c r="L22" s="2"/>
      <c r="M22" s="2"/>
      <c r="N22" s="2"/>
      <c r="O22" s="2"/>
      <c r="P22" s="2"/>
      <c r="Q22" s="2"/>
      <c r="R22" s="2"/>
      <c r="S22" s="2"/>
      <c r="T22" s="2"/>
      <c r="U22" s="2"/>
      <c r="V22" s="2"/>
      <c r="W22" s="2"/>
      <c r="X22" s="2"/>
      <c r="Y22" s="2"/>
      <c r="Z22" s="2"/>
    </row>
    <row r="23" ht="15.75" customHeight="1">
      <c r="A23" s="2"/>
      <c r="B23" s="13"/>
      <c r="C23" s="12"/>
      <c r="D23" s="2"/>
      <c r="E23" s="2"/>
      <c r="F23" s="13"/>
      <c r="G23" s="12"/>
      <c r="H23" s="2"/>
      <c r="I23" s="2"/>
      <c r="J23" s="13"/>
      <c r="K23" s="12"/>
      <c r="L23" s="2"/>
      <c r="M23" s="2"/>
      <c r="N23" s="2"/>
      <c r="O23" s="2"/>
      <c r="P23" s="2"/>
      <c r="Q23" s="2"/>
      <c r="R23" s="2"/>
      <c r="S23" s="2"/>
      <c r="T23" s="2"/>
      <c r="U23" s="2"/>
      <c r="V23" s="2"/>
      <c r="W23" s="2"/>
      <c r="X23" s="2"/>
      <c r="Y23" s="2"/>
      <c r="Z23" s="2"/>
    </row>
    <row r="24" ht="15.75" customHeight="1">
      <c r="A24" s="2"/>
      <c r="B24" s="11" t="s">
        <v>39</v>
      </c>
      <c r="C24" s="12"/>
      <c r="D24" s="2"/>
      <c r="E24" s="2"/>
      <c r="F24" s="11" t="s">
        <v>40</v>
      </c>
      <c r="G24" s="12">
        <f>((G27-G28)/G29)*G38</f>
        <v>0.2530893168</v>
      </c>
      <c r="H24" s="2"/>
      <c r="I24" s="2"/>
      <c r="J24" s="13" t="s">
        <v>41</v>
      </c>
      <c r="K24" s="12"/>
      <c r="L24" s="2"/>
      <c r="M24" s="2"/>
      <c r="N24" s="2"/>
      <c r="O24" s="2"/>
      <c r="P24" s="2"/>
      <c r="Q24" s="2"/>
      <c r="R24" s="2"/>
      <c r="S24" s="2"/>
      <c r="T24" s="2"/>
      <c r="U24" s="2"/>
      <c r="V24" s="2"/>
      <c r="W24" s="2"/>
      <c r="X24" s="2"/>
      <c r="Y24" s="2"/>
      <c r="Z24" s="2"/>
    </row>
    <row r="25" ht="15.75" customHeight="1">
      <c r="A25" s="2"/>
      <c r="B25" s="11"/>
      <c r="C25" s="12"/>
      <c r="D25" s="2"/>
      <c r="E25" s="2"/>
      <c r="F25" s="11"/>
      <c r="G25" s="12"/>
      <c r="H25" s="2"/>
      <c r="I25" s="2"/>
      <c r="J25" s="13" t="s">
        <v>42</v>
      </c>
      <c r="K25" s="12"/>
      <c r="L25" s="2"/>
      <c r="M25" s="2"/>
      <c r="N25" s="2"/>
      <c r="O25" s="2"/>
      <c r="P25" s="2"/>
      <c r="Q25" s="2"/>
      <c r="R25" s="2"/>
      <c r="S25" s="2"/>
      <c r="T25" s="2"/>
      <c r="U25" s="2"/>
      <c r="V25" s="2"/>
      <c r="W25" s="2"/>
      <c r="X25" s="2"/>
      <c r="Y25" s="2"/>
      <c r="Z25" s="2"/>
    </row>
    <row r="26" ht="15.75" customHeight="1">
      <c r="A26" s="2"/>
      <c r="B26" s="13"/>
      <c r="C26" s="12"/>
      <c r="D26" s="2"/>
      <c r="E26" s="2"/>
      <c r="F26" s="13" t="s">
        <v>43</v>
      </c>
      <c r="G26" s="12">
        <v>2.72</v>
      </c>
      <c r="H26" s="2"/>
      <c r="I26" s="2"/>
      <c r="J26" s="13"/>
      <c r="K26" s="12"/>
      <c r="L26" s="2"/>
      <c r="M26" s="2"/>
      <c r="N26" s="2"/>
      <c r="O26" s="2"/>
      <c r="P26" s="2"/>
      <c r="Q26" s="2"/>
      <c r="R26" s="2"/>
      <c r="S26" s="2"/>
      <c r="T26" s="2"/>
      <c r="U26" s="2"/>
      <c r="V26" s="2"/>
      <c r="W26" s="2"/>
      <c r="X26" s="2"/>
      <c r="Y26" s="2"/>
      <c r="Z26" s="2"/>
    </row>
    <row r="27" ht="15.75" customHeight="1">
      <c r="A27" s="2"/>
      <c r="B27" s="13" t="s">
        <v>25</v>
      </c>
      <c r="C27" s="12">
        <v>52.7</v>
      </c>
      <c r="D27" s="2"/>
      <c r="E27" s="2"/>
      <c r="F27" s="13" t="s">
        <v>44</v>
      </c>
      <c r="G27" s="12">
        <f>G13-G26</f>
        <v>0.18391</v>
      </c>
      <c r="H27" s="2"/>
      <c r="I27" s="2"/>
      <c r="J27" s="13" t="s">
        <v>45</v>
      </c>
      <c r="K27" s="12"/>
      <c r="L27" s="2"/>
      <c r="M27" s="2"/>
      <c r="N27" s="2"/>
      <c r="O27" s="2"/>
      <c r="P27" s="2"/>
      <c r="Q27" s="2"/>
      <c r="R27" s="2"/>
      <c r="S27" s="2"/>
      <c r="T27" s="2"/>
      <c r="U27" s="2"/>
      <c r="V27" s="2"/>
      <c r="W27" s="2"/>
      <c r="X27" s="2"/>
      <c r="Y27" s="2"/>
      <c r="Z27" s="2"/>
    </row>
    <row r="28" ht="15.75" customHeight="1">
      <c r="A28" s="2"/>
      <c r="B28" s="13" t="s">
        <v>6</v>
      </c>
      <c r="C28" s="12"/>
      <c r="D28" s="2"/>
      <c r="E28" s="2"/>
      <c r="F28" s="13" t="s">
        <v>36</v>
      </c>
      <c r="G28" s="14">
        <f>AVERAGE('US Macro Data'!U2:U82)</f>
        <v>0.3830507976</v>
      </c>
      <c r="H28" s="2"/>
      <c r="I28" s="2"/>
      <c r="J28" s="13" t="s">
        <v>46</v>
      </c>
      <c r="K28" s="12"/>
      <c r="L28" s="2"/>
      <c r="M28" s="2"/>
      <c r="N28" s="2"/>
      <c r="O28" s="2"/>
      <c r="P28" s="2"/>
      <c r="Q28" s="2"/>
      <c r="R28" s="2"/>
      <c r="S28" s="2"/>
      <c r="T28" s="2"/>
      <c r="U28" s="2"/>
      <c r="V28" s="2"/>
      <c r="W28" s="2"/>
      <c r="X28" s="2"/>
      <c r="Y28" s="2"/>
      <c r="Z28" s="2"/>
    </row>
    <row r="29" ht="15.75" customHeight="1">
      <c r="A29" s="2"/>
      <c r="B29" s="17" t="s">
        <v>38</v>
      </c>
      <c r="C29" s="18"/>
      <c r="D29" s="2"/>
      <c r="E29" s="2"/>
      <c r="F29" s="17" t="s">
        <v>38</v>
      </c>
      <c r="G29" s="18">
        <f>_xlfn.STDEV.S('US Macro Data'!U2:U82)</f>
        <v>0.7868399984</v>
      </c>
      <c r="H29" s="2"/>
      <c r="I29" s="2"/>
      <c r="J29" s="17"/>
      <c r="K29" s="18"/>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19"/>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1" t="s">
        <v>12</v>
      </c>
      <c r="C35" s="2"/>
      <c r="D35" s="2"/>
      <c r="E35" s="2"/>
      <c r="F35" s="1" t="s">
        <v>47</v>
      </c>
      <c r="G35" s="2"/>
      <c r="H35" s="2"/>
      <c r="I35" s="2"/>
      <c r="J35" s="1" t="s">
        <v>14</v>
      </c>
      <c r="K35" s="2"/>
      <c r="L35" s="2"/>
      <c r="M35" s="2"/>
      <c r="N35" s="2"/>
      <c r="O35" s="2"/>
      <c r="P35" s="2"/>
      <c r="Q35" s="2"/>
      <c r="R35" s="2"/>
      <c r="S35" s="2"/>
      <c r="T35" s="2"/>
      <c r="U35" s="2"/>
      <c r="V35" s="2"/>
      <c r="W35" s="2"/>
      <c r="X35" s="2"/>
      <c r="Y35" s="2"/>
      <c r="Z35" s="2"/>
    </row>
    <row r="36" ht="15.75" customHeight="1">
      <c r="A36" s="2"/>
      <c r="B36" s="2" t="s">
        <v>48</v>
      </c>
      <c r="C36" s="2">
        <v>0.6</v>
      </c>
      <c r="D36" s="2"/>
      <c r="E36" s="2"/>
      <c r="F36" s="2" t="s">
        <v>48</v>
      </c>
      <c r="G36" s="2">
        <v>0.6</v>
      </c>
      <c r="H36" s="2"/>
      <c r="I36" s="2"/>
      <c r="J36" s="2" t="s">
        <v>48</v>
      </c>
      <c r="K36" s="2">
        <v>0.6</v>
      </c>
      <c r="L36" s="2"/>
      <c r="M36" s="2"/>
      <c r="N36" s="2"/>
      <c r="O36" s="2"/>
      <c r="P36" s="2"/>
      <c r="Q36" s="2"/>
      <c r="R36" s="2"/>
      <c r="S36" s="2"/>
      <c r="T36" s="2"/>
      <c r="U36" s="2"/>
      <c r="V36" s="2"/>
      <c r="W36" s="2"/>
      <c r="X36" s="2"/>
      <c r="Y36" s="2"/>
      <c r="Z36" s="2"/>
    </row>
    <row r="37" ht="15.75" customHeight="1">
      <c r="A37" s="2"/>
      <c r="B37" s="2" t="s">
        <v>49</v>
      </c>
      <c r="C37" s="2">
        <v>0.4</v>
      </c>
      <c r="D37" s="2"/>
      <c r="E37" s="2"/>
      <c r="F37" s="2" t="s">
        <v>49</v>
      </c>
      <c r="G37" s="2">
        <v>0.4</v>
      </c>
      <c r="H37" s="2"/>
      <c r="I37" s="2"/>
      <c r="J37" s="2" t="s">
        <v>50</v>
      </c>
      <c r="K37" s="2">
        <v>0.4</v>
      </c>
      <c r="L37" s="2"/>
      <c r="M37" s="2"/>
      <c r="N37" s="2"/>
      <c r="O37" s="2"/>
      <c r="P37" s="2"/>
      <c r="Q37" s="2"/>
      <c r="R37" s="2"/>
      <c r="S37" s="2"/>
      <c r="T37" s="2"/>
      <c r="U37" s="2"/>
      <c r="V37" s="2"/>
      <c r="W37" s="2"/>
      <c r="X37" s="2"/>
      <c r="Y37" s="2"/>
      <c r="Z37" s="2"/>
    </row>
    <row r="38" ht="15.75" customHeight="1">
      <c r="A38" s="2"/>
      <c r="B38" s="2" t="s">
        <v>51</v>
      </c>
      <c r="C38" s="2">
        <v>1.0</v>
      </c>
      <c r="D38" s="2"/>
      <c r="E38" s="2"/>
      <c r="F38" s="2" t="s">
        <v>52</v>
      </c>
      <c r="G38" s="2">
        <v>-1.0</v>
      </c>
      <c r="H38" s="2"/>
      <c r="I38" s="2"/>
      <c r="J38" s="2" t="s">
        <v>51</v>
      </c>
      <c r="K38" s="2">
        <v>-1.0</v>
      </c>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1" t="s">
        <v>53</v>
      </c>
      <c r="C40" s="2">
        <f>(C36*C5)+(C37*C17)</f>
        <v>-0.6086616809</v>
      </c>
      <c r="D40" s="2"/>
      <c r="E40" s="2"/>
      <c r="F40" s="1" t="s">
        <v>54</v>
      </c>
      <c r="G40" s="2">
        <f>(G36*G5)+(G37*G17)</f>
        <v>0.155499994</v>
      </c>
      <c r="H40" s="2"/>
      <c r="I40" s="2"/>
      <c r="J40" s="1" t="s">
        <v>55</v>
      </c>
      <c r="K40" s="2">
        <f>(K36*K5)+(K37*K17)</f>
        <v>0.465643443</v>
      </c>
      <c r="L40" s="2"/>
      <c r="M40" s="2"/>
      <c r="N40" s="2"/>
      <c r="O40" s="2"/>
      <c r="P40" s="2"/>
      <c r="Q40" s="2"/>
      <c r="R40" s="2"/>
      <c r="S40" s="2"/>
      <c r="T40" s="2"/>
      <c r="U40" s="2"/>
      <c r="V40" s="2"/>
      <c r="W40" s="2"/>
      <c r="X40" s="2"/>
      <c r="Y40" s="2"/>
      <c r="Z40" s="2"/>
    </row>
    <row r="41" ht="15.75" customHeight="1">
      <c r="A41" s="2"/>
      <c r="B41" s="1" t="s">
        <v>56</v>
      </c>
      <c r="C41" s="2">
        <f>(C36*C11)+(C37*C24)</f>
        <v>0</v>
      </c>
      <c r="D41" s="2"/>
      <c r="E41" s="2"/>
      <c r="F41" s="1" t="s">
        <v>57</v>
      </c>
      <c r="G41" s="2">
        <f>(G36*G11)+(G37*G24)</f>
        <v>-0.006160577123</v>
      </c>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1"/>
      <c r="G42" s="2"/>
      <c r="H42" s="2"/>
      <c r="I42" s="2"/>
      <c r="J42" s="2"/>
      <c r="K42" s="2"/>
      <c r="L42" s="2"/>
      <c r="M42" s="2"/>
      <c r="N42" s="2"/>
      <c r="O42" s="2"/>
      <c r="P42" s="2"/>
      <c r="Q42" s="2"/>
      <c r="R42" s="2"/>
      <c r="S42" s="2"/>
      <c r="T42" s="2"/>
      <c r="U42" s="2"/>
      <c r="V42" s="2"/>
      <c r="W42" s="2"/>
      <c r="X42" s="2"/>
      <c r="Y42" s="2"/>
      <c r="Z42" s="2"/>
    </row>
    <row r="43" ht="15.75" customHeight="1">
      <c r="A43" s="2"/>
      <c r="B43" s="1"/>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t="s">
        <v>58</v>
      </c>
      <c r="C44" s="2">
        <v>0.3</v>
      </c>
      <c r="D44" s="2"/>
      <c r="E44" s="2"/>
      <c r="F44" s="2" t="s">
        <v>59</v>
      </c>
      <c r="G44" s="2">
        <v>0.6</v>
      </c>
      <c r="H44" s="2"/>
      <c r="I44" s="2"/>
      <c r="J44" s="2" t="s">
        <v>60</v>
      </c>
      <c r="K44" s="2">
        <v>1.0</v>
      </c>
      <c r="L44" s="2"/>
      <c r="M44" s="2"/>
      <c r="N44" s="2"/>
      <c r="O44" s="2"/>
      <c r="P44" s="2"/>
      <c r="Q44" s="2"/>
      <c r="R44" s="2"/>
      <c r="S44" s="2"/>
      <c r="T44" s="2"/>
      <c r="U44" s="2"/>
      <c r="V44" s="2"/>
      <c r="W44" s="2"/>
      <c r="X44" s="2"/>
      <c r="Y44" s="2"/>
      <c r="Z44" s="2"/>
    </row>
    <row r="45" ht="15.75" customHeight="1">
      <c r="A45" s="2"/>
      <c r="B45" s="2" t="s">
        <v>61</v>
      </c>
      <c r="C45" s="2">
        <v>0.7</v>
      </c>
      <c r="D45" s="2"/>
      <c r="E45" s="2"/>
      <c r="F45" s="2" t="s">
        <v>62</v>
      </c>
      <c r="G45" s="2">
        <v>0.4</v>
      </c>
      <c r="H45" s="2"/>
      <c r="I45" s="2"/>
      <c r="J45" s="2"/>
      <c r="K45" s="2"/>
      <c r="L45" s="2"/>
      <c r="M45" s="2"/>
      <c r="N45" s="2"/>
      <c r="O45" s="2"/>
      <c r="P45" s="2"/>
      <c r="Q45" s="2"/>
      <c r="R45" s="2"/>
      <c r="S45" s="2"/>
      <c r="T45" s="2"/>
      <c r="U45" s="2"/>
      <c r="V45" s="2"/>
      <c r="W45" s="2"/>
      <c r="X45" s="2"/>
      <c r="Y45" s="2"/>
      <c r="Z45" s="2"/>
    </row>
    <row r="46" ht="15.75" customHeight="1">
      <c r="A46" s="2"/>
      <c r="B46" s="1" t="s">
        <v>63</v>
      </c>
      <c r="C46" s="2">
        <f>(C44*C40)+(C45*C41)</f>
        <v>-0.1825985043</v>
      </c>
      <c r="D46" s="2"/>
      <c r="E46" s="2"/>
      <c r="F46" s="1" t="s">
        <v>64</v>
      </c>
      <c r="G46" s="2">
        <f>(G44*G40)+(G45*G41)</f>
        <v>0.09083576557</v>
      </c>
      <c r="H46" s="2"/>
      <c r="I46" s="2"/>
      <c r="J46" s="1" t="s">
        <v>55</v>
      </c>
      <c r="K46" s="2">
        <f>K44*K40</f>
        <v>0.465643443</v>
      </c>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t="s">
        <v>65</v>
      </c>
      <c r="C49" s="2">
        <v>0.4</v>
      </c>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t="s">
        <v>66</v>
      </c>
      <c r="C50" s="2">
        <v>0.3</v>
      </c>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t="s">
        <v>67</v>
      </c>
      <c r="C51" s="2">
        <v>0.3</v>
      </c>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1" t="s">
        <v>68</v>
      </c>
      <c r="C52" s="2">
        <f>(C49*C46)+(C50*G46)+(C51*K46)</f>
        <v>0.09390436086</v>
      </c>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13"/>
    <col customWidth="1" min="2" max="4" width="8.63"/>
    <col customWidth="1" min="5" max="5" width="34.25"/>
    <col customWidth="1" min="6" max="6" width="8.63"/>
    <col customWidth="1" min="7" max="7" width="28.0"/>
    <col customWidth="1" min="8" max="8" width="8.63"/>
    <col customWidth="1" min="9" max="9" width="17.0"/>
    <col customWidth="1" min="10" max="26" width="8.63"/>
  </cols>
  <sheetData>
    <row r="1" ht="14.25" customHeight="1">
      <c r="A1" s="28" t="s">
        <v>157</v>
      </c>
      <c r="B1" s="2"/>
      <c r="C1" s="2"/>
      <c r="D1" s="2"/>
      <c r="E1" s="2"/>
      <c r="F1" s="2"/>
      <c r="G1" s="2"/>
      <c r="H1" s="2"/>
      <c r="I1" s="2"/>
    </row>
    <row r="2" ht="14.25" customHeight="1"/>
    <row r="3" ht="14.25" customHeight="1">
      <c r="A3" s="1" t="s">
        <v>158</v>
      </c>
      <c r="B3" s="2"/>
      <c r="C3" s="2" t="s">
        <v>159</v>
      </c>
      <c r="D3" s="2"/>
      <c r="E3" s="2" t="s">
        <v>160</v>
      </c>
      <c r="F3" s="2"/>
      <c r="G3" s="2" t="s">
        <v>4</v>
      </c>
      <c r="H3" s="2"/>
      <c r="I3" s="2" t="s">
        <v>11</v>
      </c>
    </row>
    <row r="4" ht="14.25" customHeight="1">
      <c r="A4" s="2" t="s">
        <v>161</v>
      </c>
      <c r="B4" s="2"/>
      <c r="C4" s="2"/>
      <c r="D4" s="2"/>
      <c r="E4" s="2" t="s">
        <v>162</v>
      </c>
      <c r="F4" s="2"/>
      <c r="G4" s="2" t="s">
        <v>163</v>
      </c>
      <c r="H4" s="2"/>
      <c r="I4" s="2" t="s">
        <v>164</v>
      </c>
    </row>
    <row r="5" ht="222.75" customHeight="1">
      <c r="A5" s="29" t="s">
        <v>165</v>
      </c>
      <c r="B5" s="2"/>
      <c r="C5" s="2"/>
      <c r="D5" s="2"/>
      <c r="E5" s="29" t="s">
        <v>166</v>
      </c>
      <c r="F5" s="2"/>
      <c r="G5" s="29" t="s">
        <v>167</v>
      </c>
      <c r="H5" s="2"/>
      <c r="I5" s="29" t="s">
        <v>168</v>
      </c>
    </row>
    <row r="6" ht="14.25" customHeight="1">
      <c r="A6" s="29" t="s">
        <v>169</v>
      </c>
      <c r="B6" s="2"/>
      <c r="C6" s="2"/>
      <c r="D6" s="2"/>
      <c r="E6" s="2" t="s">
        <v>170</v>
      </c>
      <c r="F6" s="2"/>
      <c r="G6" s="2" t="s">
        <v>170</v>
      </c>
      <c r="H6" s="2"/>
      <c r="I6" s="2" t="s">
        <v>170</v>
      </c>
    </row>
    <row r="7" ht="14.25" customHeight="1">
      <c r="A7" s="2" t="s">
        <v>171</v>
      </c>
      <c r="B7" s="2"/>
      <c r="C7" s="2"/>
      <c r="D7" s="2"/>
      <c r="E7" s="2"/>
      <c r="F7" s="2"/>
      <c r="G7" s="2"/>
      <c r="H7" s="2"/>
      <c r="I7" s="2"/>
    </row>
    <row r="8" ht="14.25" customHeight="1">
      <c r="A8" s="29" t="s">
        <v>172</v>
      </c>
      <c r="B8" s="2"/>
      <c r="C8" s="2"/>
      <c r="D8" s="2"/>
      <c r="E8" s="2"/>
      <c r="F8" s="2"/>
      <c r="G8" s="2"/>
      <c r="H8" s="2"/>
      <c r="I8" s="2"/>
    </row>
    <row r="9" ht="14.25" customHeight="1"/>
    <row r="10" ht="14.25" customHeight="1"/>
    <row r="11" ht="14.25" customHeight="1"/>
    <row r="12" ht="14.25" customHeight="1"/>
    <row r="13" ht="14.25" customHeight="1">
      <c r="A13" s="2" t="s">
        <v>173</v>
      </c>
      <c r="B13" s="2"/>
      <c r="C13" s="2"/>
      <c r="D13" s="2"/>
      <c r="E13" s="2"/>
      <c r="F13" s="2"/>
      <c r="G13" s="2"/>
      <c r="H13" s="2"/>
      <c r="I13" s="2"/>
    </row>
    <row r="14" ht="14.25" customHeight="1">
      <c r="A14" s="2" t="s">
        <v>158</v>
      </c>
      <c r="B14" s="2"/>
      <c r="C14" s="2"/>
      <c r="D14" s="2"/>
      <c r="E14" s="2" t="s">
        <v>174</v>
      </c>
      <c r="F14" s="2"/>
      <c r="G14" s="2" t="s">
        <v>175</v>
      </c>
      <c r="H14" s="2"/>
      <c r="I14" s="2" t="s">
        <v>11</v>
      </c>
    </row>
    <row r="15" ht="14.25" customHeight="1"/>
    <row r="16" ht="14.25" customHeight="1">
      <c r="A16" s="29" t="s">
        <v>176</v>
      </c>
      <c r="B16" s="2"/>
      <c r="C16" s="2"/>
      <c r="D16" s="2"/>
      <c r="E16" s="29" t="s">
        <v>177</v>
      </c>
      <c r="F16" s="2"/>
      <c r="G16" s="29" t="s">
        <v>178</v>
      </c>
      <c r="H16" s="2"/>
      <c r="I16" s="29" t="s">
        <v>179</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2026-04-01T16:11:44Z</dcterms:created>
  <dc:creator>Nicholas Iglesias</dc:creator>
</cp:coreProperties>
</file>